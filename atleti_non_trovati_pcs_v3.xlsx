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 activeTab="2"/>
  </bookViews>
  <sheets>
    <sheet name="Atleti non trovati" sheetId="1" r:id="rId1"/>
    <sheet name="Trovati nel frattempo" sheetId="2" r:id="rId2"/>
    <sheet name="Team non trova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<sst xmlns="http://schemas.openxmlformats.org/spreadsheetml/2006/main" count="1759" uniqueCount="909">
  <si>
    <t>#</t>
  </si>
  <si>
    <t>Nome</t>
  </si>
  <si>
    <t>Slug provato dallo scraper</t>
  </si>
  <si>
    <t>Cerca su PCS</t>
  </si>
  <si>
    <t>Link profilo trovato</t>
  </si>
  <si>
    <t>Note</t>
  </si>
  <si>
    <t>ACTIS SAMUELE</t>
  </si>
  <si>
    <t>samuele-actis</t>
  </si>
  <si>
    <t/>
  </si>
  <si>
    <t>ARGENTINO SALVATORE</t>
  </si>
  <si>
    <t>salvatore-argentino</t>
  </si>
  <si>
    <t>ASTORRI MARTINO</t>
  </si>
  <si>
    <t>martino-astorri</t>
  </si>
  <si>
    <t>AYALA ARELLANO EDUARD EMANUEL</t>
  </si>
  <si>
    <t>eduard-emanuel-ayala-arellano</t>
  </si>
  <si>
    <t>Alhach Gaetanna</t>
  </si>
  <si>
    <t>gaetanna-alhach</t>
  </si>
  <si>
    <t>Amondarain Naia</t>
  </si>
  <si>
    <t>naia-amondarain</t>
  </si>
  <si>
    <t>Anderson Solbjørk Minke</t>
  </si>
  <si>
    <t>solbj-rk-minke-anderson</t>
  </si>
  <si>
    <t>Aubry Julia</t>
  </si>
  <si>
    <t>julia-aubry</t>
  </si>
  <si>
    <t>Azzini Tuan</t>
  </si>
  <si>
    <t>tuan-azzini</t>
  </si>
  <si>
    <t>BALLIANA ENRICO</t>
  </si>
  <si>
    <t>enrico-balliana</t>
  </si>
  <si>
    <t>BANDINI FILIPPO</t>
  </si>
  <si>
    <t>filippo-bandini</t>
  </si>
  <si>
    <t>BANNER WIL</t>
  </si>
  <si>
    <t>wil-banner</t>
  </si>
  <si>
    <t>BERARDI MICHELE</t>
  </si>
  <si>
    <t>michele-berardi</t>
  </si>
  <si>
    <t>BOLZONI SIMONE</t>
  </si>
  <si>
    <t>simone-bolzoni</t>
  </si>
  <si>
    <t>Balestri Mattia</t>
  </si>
  <si>
    <t>mattia-balestri</t>
  </si>
  <si>
    <t>Bembi Mattia</t>
  </si>
  <si>
    <t>mattia-bembi</t>
  </si>
  <si>
    <t>Benassi Matteo</t>
  </si>
  <si>
    <t>matteo-benassi</t>
  </si>
  <si>
    <t>Benito Adrián</t>
  </si>
  <si>
    <t>adrian-benito</t>
  </si>
  <si>
    <t>Bettelli Davide</t>
  </si>
  <si>
    <t>davide-bettelli</t>
  </si>
  <si>
    <t>Binda Rossetti</t>
  </si>
  <si>
    <t>rossetti-binda</t>
  </si>
  <si>
    <t>Bovo Bianto Kylian</t>
  </si>
  <si>
    <t>bianto-kylian-bovo</t>
  </si>
  <si>
    <t>Brugier Robin</t>
  </si>
  <si>
    <t>robin-brugier</t>
  </si>
  <si>
    <t>Buijsman Nina</t>
  </si>
  <si>
    <t>nina-buijsman</t>
  </si>
  <si>
    <t>CANCHON GIL JUAN ESTEBAN</t>
  </si>
  <si>
    <t>gil-juan-esteban-canchon</t>
  </si>
  <si>
    <t>CARUSO SALVATORE</t>
  </si>
  <si>
    <t>salvatore-caruso</t>
  </si>
  <si>
    <t>CHYZHYKOV HMORHII</t>
  </si>
  <si>
    <t>hmorhii-chyzhykov</t>
  </si>
  <si>
    <t>COATES BENJAMIN</t>
  </si>
  <si>
    <t>benjamin-coates</t>
  </si>
  <si>
    <t>COMETTO FILIPPO</t>
  </si>
  <si>
    <t>filippo-cometto</t>
  </si>
  <si>
    <t>CONGIU FILIPPO</t>
  </si>
  <si>
    <t>filippo-congiu</t>
  </si>
  <si>
    <t>Canino Giuseppe</t>
  </si>
  <si>
    <t>giuseppe-canino</t>
  </si>
  <si>
    <t>Capelli Luca</t>
  </si>
  <si>
    <t>luca-capelli</t>
  </si>
  <si>
    <t>Caroppo Cristian</t>
  </si>
  <si>
    <t>cristian-caroppo</t>
  </si>
  <si>
    <t>Caselli Armin</t>
  </si>
  <si>
    <t>armin-caselli</t>
  </si>
  <si>
    <t>Catellani Marco</t>
  </si>
  <si>
    <t>marco-catellani</t>
  </si>
  <si>
    <t>Cazzaniga Filippo</t>
  </si>
  <si>
    <t>filippo-cazzaniga</t>
  </si>
  <si>
    <t>Cisneros Luis Isuhan</t>
  </si>
  <si>
    <t>luis-isuhan-cisneros</t>
  </si>
  <si>
    <t>Costa-Starrico Giulia</t>
  </si>
  <si>
    <t>giulia-costa-starrico</t>
  </si>
  <si>
    <t>Cuda Gabriele</t>
  </si>
  <si>
    <t>gabriele-cuda</t>
  </si>
  <si>
    <t>Czeczinkarová Jana</t>
  </si>
  <si>
    <t>jana-czeczinkarova</t>
  </si>
  <si>
    <t>D'APOLLONIO REBECCA</t>
  </si>
  <si>
    <t>rebecca-d-apollonio</t>
  </si>
  <si>
    <t>DALLA BONA THOMAS</t>
  </si>
  <si>
    <t>bona-thomas-dalla</t>
  </si>
  <si>
    <t>DALLA PRIA GIACOMO</t>
  </si>
  <si>
    <t>pria-giacomo-dalla</t>
  </si>
  <si>
    <t>DALLE CRODE LORENZO</t>
  </si>
  <si>
    <t>crode-lorenzo-dalle</t>
  </si>
  <si>
    <t>DE GRANDIS MICHELA</t>
  </si>
  <si>
    <t>grandis-michela-de</t>
  </si>
  <si>
    <t>DE MERCANTI LUCA</t>
  </si>
  <si>
    <t>mercanti-luca-de</t>
  </si>
  <si>
    <t>DE MONTE MATTEO</t>
  </si>
  <si>
    <t>monte-matteo-de</t>
  </si>
  <si>
    <t>DE SMET VIC</t>
  </si>
  <si>
    <t>smet-vic-de</t>
  </si>
  <si>
    <t>DELL'OLIO FRANCESCO</t>
  </si>
  <si>
    <t>francesco-dell-olio</t>
  </si>
  <si>
    <t>DELLA TORRE CARLO</t>
  </si>
  <si>
    <t>torre-carlo-della</t>
  </si>
  <si>
    <t>DERGANC ANTON</t>
  </si>
  <si>
    <t>anton-derganc</t>
  </si>
  <si>
    <t>DI PRIMA CHRISTIAN</t>
  </si>
  <si>
    <t>prima-christian-di</t>
  </si>
  <si>
    <t>DI SANTO LEONARDO</t>
  </si>
  <si>
    <t>santo-leonardo-di</t>
  </si>
  <si>
    <t>DOVESI MANUEL</t>
  </si>
  <si>
    <t>manuel-dovesi</t>
  </si>
  <si>
    <t>Dalla Cia Alberto</t>
  </si>
  <si>
    <t>cia-alberto-dalla</t>
  </si>
  <si>
    <t>Dalla Valle Andrea</t>
  </si>
  <si>
    <t>valle-andrea-dalla</t>
  </si>
  <si>
    <t>Dalle Carbonare Loris</t>
  </si>
  <si>
    <t>carbonare-loris-dalle</t>
  </si>
  <si>
    <t>De Buysser Auke</t>
  </si>
  <si>
    <t>buysser-auke-de</t>
  </si>
  <si>
    <t>De Fabritiis Gabriele</t>
  </si>
  <si>
    <t>fabritiis-gabriele-de</t>
  </si>
  <si>
    <t>De Keersmaeker Audrey</t>
  </si>
  <si>
    <t>keersmaeker-audrey-de</t>
  </si>
  <si>
    <t>De Lazzer Agnese</t>
  </si>
  <si>
    <t>lazzer-agnese-de</t>
  </si>
  <si>
    <t>De Rensis Stefano</t>
  </si>
  <si>
    <t>rensis-stefano-de</t>
  </si>
  <si>
    <t>De Vallier Elisa</t>
  </si>
  <si>
    <t>vallier-elisa-de</t>
  </si>
  <si>
    <t>Devos Victor</t>
  </si>
  <si>
    <t>victor-devos</t>
  </si>
  <si>
    <t>Di Vita Federico</t>
  </si>
  <si>
    <t>vita-federico-di</t>
  </si>
  <si>
    <t>Dones Mattia</t>
  </si>
  <si>
    <t>mattia-dones</t>
  </si>
  <si>
    <t>Elsäßer Luan</t>
  </si>
  <si>
    <t>luan-elsa-er</t>
  </si>
  <si>
    <t>FARAZ KHATIEB</t>
  </si>
  <si>
    <t>khatieb-faraz</t>
  </si>
  <si>
    <t>FOLEGANI MATTIA</t>
  </si>
  <si>
    <t>mattia-folegani</t>
  </si>
  <si>
    <t>FRATICELLI LUCA</t>
  </si>
  <si>
    <t>luca-fraticelli</t>
  </si>
  <si>
    <t>Felipe Quotadamo</t>
  </si>
  <si>
    <t>quotadamo-felipe</t>
  </si>
  <si>
    <t>Flückiger Dennis</t>
  </si>
  <si>
    <t>dennis-fluckiger</t>
  </si>
  <si>
    <t>Francescangeli Tommaso</t>
  </si>
  <si>
    <t>tommaso-francescangeli</t>
  </si>
  <si>
    <t>Frydkjær Patrick Boje</t>
  </si>
  <si>
    <t>patrick-boje-frydkj-r</t>
  </si>
  <si>
    <t>GALFRE' JACOPO</t>
  </si>
  <si>
    <t>jacopo-galfre</t>
  </si>
  <si>
    <t>GARCIA BARENO DOMINGUEZ NABYENKA</t>
  </si>
  <si>
    <t>bareno-dominguez-nabyenka-garcia</t>
  </si>
  <si>
    <t>GENOVESE RICCARDO</t>
  </si>
  <si>
    <t>riccardo-genovese</t>
  </si>
  <si>
    <t>GENTILE ANGELO</t>
  </si>
  <si>
    <t>angelo-gentile</t>
  </si>
  <si>
    <t>GERACI SALVATORE</t>
  </si>
  <si>
    <t>salvatore-geraci</t>
  </si>
  <si>
    <t>GIOVANNINI LEONARDO</t>
  </si>
  <si>
    <t>leonardo-giovannini</t>
  </si>
  <si>
    <t>Gaffney David</t>
  </si>
  <si>
    <t>david-gaffney</t>
  </si>
  <si>
    <t>Garcia Rodrigo</t>
  </si>
  <si>
    <t>rodrigo-garcia</t>
  </si>
  <si>
    <t>Genghini Giacomo</t>
  </si>
  <si>
    <t>giacomo-genghini</t>
  </si>
  <si>
    <t>Gualtieri Samuel</t>
  </si>
  <si>
    <t>samuel-gualtieri</t>
  </si>
  <si>
    <t>HINOJOSA CRUZ ROMINA</t>
  </si>
  <si>
    <t>cruz-romina-hinojosa</t>
  </si>
  <si>
    <t>HIYOSHI AYAKA</t>
  </si>
  <si>
    <t>ayaka-hiyoshi</t>
  </si>
  <si>
    <t>IAKOVLEV MATVEL</t>
  </si>
  <si>
    <t>matvel-iakovlev</t>
  </si>
  <si>
    <t>IETTA EDOARDO</t>
  </si>
  <si>
    <t>edoardo-ietta</t>
  </si>
  <si>
    <t>Iakolev Matvei</t>
  </si>
  <si>
    <t>matvei-iakolev</t>
  </si>
  <si>
    <t>Jakobsons Marks</t>
  </si>
  <si>
    <t>marks-jakobsons</t>
  </si>
  <si>
    <t>Johnson Joshua</t>
  </si>
  <si>
    <t>joshua-johnson</t>
  </si>
  <si>
    <t>Jørgensen Tiril</t>
  </si>
  <si>
    <t>tiril-j-rgensen</t>
  </si>
  <si>
    <t>KLAU JACKSON</t>
  </si>
  <si>
    <t>jackson-klau</t>
  </si>
  <si>
    <t>KONONENKO VALERIIA</t>
  </si>
  <si>
    <t>valeriia-kononenko</t>
  </si>
  <si>
    <t>KOSTINA OLGA</t>
  </si>
  <si>
    <t>olga-kostina</t>
  </si>
  <si>
    <t>KUNTARIC ZIBERT VANJA</t>
  </si>
  <si>
    <t>zibert-vanja-kuntaric</t>
  </si>
  <si>
    <t>Kancers Helvijs</t>
  </si>
  <si>
    <t>helvijs-kancers</t>
  </si>
  <si>
    <t>Kołkowicz Karolina</t>
  </si>
  <si>
    <t>karolina-ko-kowicz</t>
  </si>
  <si>
    <t>LA BELLA ELEONORA</t>
  </si>
  <si>
    <t>bella-eleonora-la</t>
  </si>
  <si>
    <t>LINGENHAG LAURIN</t>
  </si>
  <si>
    <t>laurin-lingenhag</t>
  </si>
  <si>
    <t>LOVER MEDEOT TOMAZ</t>
  </si>
  <si>
    <t>tomaz-lover-medeot</t>
  </si>
  <si>
    <t>LUDWIG UTTRUP CECILIE</t>
  </si>
  <si>
    <t>uttrup-ludwig</t>
  </si>
  <si>
    <t>La Face Giuseppe</t>
  </si>
  <si>
    <t>face-giuseppe-la</t>
  </si>
  <si>
    <t>Lapi Luca</t>
  </si>
  <si>
    <t>luca-lapi</t>
  </si>
  <si>
    <t>Lauria Andrea</t>
  </si>
  <si>
    <t>andrea-lauria</t>
  </si>
  <si>
    <t>Le Court-Pienaar Kim</t>
  </si>
  <si>
    <t>court-pienaar-kim-le</t>
  </si>
  <si>
    <t>Lega Niccolo'</t>
  </si>
  <si>
    <t>niccolo-lega</t>
  </si>
  <si>
    <t>Limardo Damiano</t>
  </si>
  <si>
    <t>damiano-limardo</t>
  </si>
  <si>
    <t>Limonta Daniele</t>
  </si>
  <si>
    <t>daniele-limonta</t>
  </si>
  <si>
    <t>Lo Piccolo Domenico</t>
  </si>
  <si>
    <t>piccolo-domenico-lo</t>
  </si>
  <si>
    <t>Londoño Juliana</t>
  </si>
  <si>
    <t>juliana-londono</t>
  </si>
  <si>
    <t>Lotti Zeno</t>
  </si>
  <si>
    <t>zeno-lotti</t>
  </si>
  <si>
    <t>Luzzi Gabriele</t>
  </si>
  <si>
    <t>gabriele-luzzi</t>
  </si>
  <si>
    <t>MANCA SAMUELE</t>
  </si>
  <si>
    <t>samuele-manca</t>
  </si>
  <si>
    <t>MANNU FRANCESCO</t>
  </si>
  <si>
    <t>francesco-mannu</t>
  </si>
  <si>
    <t>MANTOVANI GIULIO</t>
  </si>
  <si>
    <t>giulio-mantovani</t>
  </si>
  <si>
    <t>MARCHIONE GIACOMO</t>
  </si>
  <si>
    <t>giacomo-marchione</t>
  </si>
  <si>
    <t>MARETTA GABRIELE</t>
  </si>
  <si>
    <t>gabriele-maretta</t>
  </si>
  <si>
    <t>MATYASIK MAKSYMILIAN</t>
  </si>
  <si>
    <t>maksymilian-matyasik</t>
  </si>
  <si>
    <t>MAZZOLENI LUCA</t>
  </si>
  <si>
    <t>luca-mazzoleni</t>
  </si>
  <si>
    <t>MILAKI ARGYRO</t>
  </si>
  <si>
    <t>argyro-milaki</t>
  </si>
  <si>
    <t>MILANI LORENZO</t>
  </si>
  <si>
    <t>lorenzo-milani</t>
  </si>
  <si>
    <t>MISHANKOV MAKSIM</t>
  </si>
  <si>
    <t>maksim-mishankov</t>
  </si>
  <si>
    <t>MOCCI EDOARDO</t>
  </si>
  <si>
    <t>edoardo-mocci</t>
  </si>
  <si>
    <t>MOLLO GIANMARIA</t>
  </si>
  <si>
    <t>gianmaria-mollo</t>
  </si>
  <si>
    <t>MORENO GARCIA DANIEL SANTIAGO</t>
  </si>
  <si>
    <t>garcia-daniel-santiago-moreno</t>
  </si>
  <si>
    <t>MURA ANDREA</t>
  </si>
  <si>
    <t>andrea-mura</t>
  </si>
  <si>
    <t>Magni Daniele</t>
  </si>
  <si>
    <t>daniele-magni</t>
  </si>
  <si>
    <t>Maranchón Enrique</t>
  </si>
  <si>
    <t>enrique-maranchon</t>
  </si>
  <si>
    <t>Marchina Leonardo</t>
  </si>
  <si>
    <t>leonardo-marchina</t>
  </si>
  <si>
    <t>Martini Nicola</t>
  </si>
  <si>
    <t>nicola-martini</t>
  </si>
  <si>
    <t>Martín Sara</t>
  </si>
  <si>
    <t>sara-martin</t>
  </si>
  <si>
    <t>Martínez Aitor</t>
  </si>
  <si>
    <t>aitor-martinez</t>
  </si>
  <si>
    <t>Micali Matteo</t>
  </si>
  <si>
    <t>matteo-micali</t>
  </si>
  <si>
    <t>Moolman-Pasio Ashleigh</t>
  </si>
  <si>
    <t>ashleigh-moolman-pasio</t>
  </si>
  <si>
    <t>Moretti Samuel</t>
  </si>
  <si>
    <t>samuel-moretti</t>
  </si>
  <si>
    <t>Muricci Leonardo</t>
  </si>
  <si>
    <t>leonardo-muricci</t>
  </si>
  <si>
    <t>NOVAL SUAREZ BENJAMIN</t>
  </si>
  <si>
    <t>benjamin-noval-suarez</t>
  </si>
  <si>
    <t>Noyola Marcela</t>
  </si>
  <si>
    <t>marcela-noyola</t>
  </si>
  <si>
    <t>ORHOLM-LONSETH SIND</t>
  </si>
  <si>
    <t>sind-orholm-lonseth</t>
  </si>
  <si>
    <t>Odriozola Naxara</t>
  </si>
  <si>
    <t>naxara-odriozola</t>
  </si>
  <si>
    <t>Orholm-Lønseth Sindre</t>
  </si>
  <si>
    <t>sindre-orholm-l-nseth</t>
  </si>
  <si>
    <t>Orlandi Giacomo</t>
  </si>
  <si>
    <t>giacomo-orlandi</t>
  </si>
  <si>
    <t>Orsi Riccardo</t>
  </si>
  <si>
    <t>riccardo-orsi</t>
  </si>
  <si>
    <t>PAVI DEGL'INNOCENTI GIULIO</t>
  </si>
  <si>
    <t>degl-innocenti-giulio-pavi</t>
  </si>
  <si>
    <t>PENALVER ANIORTE MANUEL</t>
  </si>
  <si>
    <t>aniorte-manuel-penalver</t>
  </si>
  <si>
    <t>PENEDA SOTO NATALIA</t>
  </si>
  <si>
    <t>natalia-peneda-soto</t>
  </si>
  <si>
    <t>PINEDA SOTO NATALIA</t>
  </si>
  <si>
    <t>natalia-pineda-soto</t>
  </si>
  <si>
    <t>PINNA ROBERTO</t>
  </si>
  <si>
    <t>roberto-pinna</t>
  </si>
  <si>
    <t>PITTA JACOPO</t>
  </si>
  <si>
    <t>jacopo-pitta</t>
  </si>
  <si>
    <t>POLIUSHKO OLEKSANDER</t>
  </si>
  <si>
    <t>oleksander-poliushko</t>
  </si>
  <si>
    <t>PROSANDEEV IAROSLAV</t>
  </si>
  <si>
    <t>iaroslav-prosandeev</t>
  </si>
  <si>
    <t>Paredes Manuel Sebastian</t>
  </si>
  <si>
    <t>manuel-sebastian-paredes</t>
  </si>
  <si>
    <t>Piccin Alessandro</t>
  </si>
  <si>
    <t>alessandro-piccin</t>
  </si>
  <si>
    <t>Puigdefábregas Laia</t>
  </si>
  <si>
    <t>laia-puigdefabregas</t>
  </si>
  <si>
    <t>Pérez Ciro</t>
  </si>
  <si>
    <t>ciro-perez</t>
  </si>
  <si>
    <t>Płosaj Nikol</t>
  </si>
  <si>
    <t>nikol-p-osaj</t>
  </si>
  <si>
    <t>Quilico Gabriele</t>
  </si>
  <si>
    <t>gabriele-quilico</t>
  </si>
  <si>
    <t>RANDAZZO VITO</t>
  </si>
  <si>
    <t>vito-randazzo</t>
  </si>
  <si>
    <t>RANIERI MATTEO</t>
  </si>
  <si>
    <t>matteo-ranieri</t>
  </si>
  <si>
    <t>RESTREPO LOAIZA OSCAR IVAN</t>
  </si>
  <si>
    <t>loaiza-restrepo</t>
  </si>
  <si>
    <t>RICCADONA EDOARDO</t>
  </si>
  <si>
    <t>edoardo-riccadona</t>
  </si>
  <si>
    <t>ROCCELLA MARCO</t>
  </si>
  <si>
    <t>marco-roccella</t>
  </si>
  <si>
    <t>RODRIGUEZ DELGADO JOSE EMILIO</t>
  </si>
  <si>
    <t>delgado-jose-emilio-rodriguez</t>
  </si>
  <si>
    <t>ROJAS NARANJO VICENTE RODRIGO ANTONIO</t>
  </si>
  <si>
    <t>naranjo-vicente-rodrigo-antonio-rojas</t>
  </si>
  <si>
    <t>ROSSI MATTIA</t>
  </si>
  <si>
    <t>mattia-rossi</t>
  </si>
  <si>
    <t>Ramírez Mateo</t>
  </si>
  <si>
    <t>mateo-ramirez</t>
  </si>
  <si>
    <t>Rayfer Ilay</t>
  </si>
  <si>
    <t>ilay-rayfer</t>
  </si>
  <si>
    <t>Reichmuth Kyra</t>
  </si>
  <si>
    <t>kyra-reichmuth</t>
  </si>
  <si>
    <t>Ricci Federico</t>
  </si>
  <si>
    <t>federico-ricci</t>
  </si>
  <si>
    <t>Rodriguez Diego</t>
  </si>
  <si>
    <t>diego-rodriguez</t>
  </si>
  <si>
    <t>Rodríguez Laura</t>
  </si>
  <si>
    <t>laura-rodriguez</t>
  </si>
  <si>
    <t>Ruffin Riccardo</t>
  </si>
  <si>
    <t>riccardo-ruffin</t>
  </si>
  <si>
    <t>SAINT MARTIN PIERRE</t>
  </si>
  <si>
    <t>martin-pierre-saint</t>
  </si>
  <si>
    <t>SANTAMARIA RICCARDO</t>
  </si>
  <si>
    <t>riccardo-santamaria</t>
  </si>
  <si>
    <t>SANTIAGO GARCIA RICARDO</t>
  </si>
  <si>
    <t>ricardo-santiago-garcia</t>
  </si>
  <si>
    <t>SAVEKIN ILIA</t>
  </si>
  <si>
    <t>ilia-savekin</t>
  </si>
  <si>
    <t>SCHEMBARI FLAVIO</t>
  </si>
  <si>
    <t>flavio-schembari</t>
  </si>
  <si>
    <t>SCHNYDER NOAH</t>
  </si>
  <si>
    <t>noah-schnyder</t>
  </si>
  <si>
    <t>SCOTT BOURIS AMOS</t>
  </si>
  <si>
    <t>bouris-amos-scott</t>
  </si>
  <si>
    <t>SECHI MARCO</t>
  </si>
  <si>
    <t>marco-sechi</t>
  </si>
  <si>
    <t>SHANNON HARRISON</t>
  </si>
  <si>
    <t>harrison-shannon</t>
  </si>
  <si>
    <t>SOLLA LEONARDO</t>
  </si>
  <si>
    <t>leonardo-solla</t>
  </si>
  <si>
    <t>SOTO CERVANTES ALEJANDRO</t>
  </si>
  <si>
    <t>cervantes-alejandro-soto</t>
  </si>
  <si>
    <t>STELLA ANTONIO TANCREDI</t>
  </si>
  <si>
    <t>antonio-tancredi-stella</t>
  </si>
  <si>
    <t>SUPI SEBASTIAN</t>
  </si>
  <si>
    <t>sebastian-supi</t>
  </si>
  <si>
    <t>Saguatti Fabian</t>
  </si>
  <si>
    <t>fabian-saguatti</t>
  </si>
  <si>
    <t>Støvern Ida Østbye</t>
  </si>
  <si>
    <t>ida-stbye-st-vern</t>
  </si>
  <si>
    <t>Słomka Kinga</t>
  </si>
  <si>
    <t>kinga-s-omka</t>
  </si>
  <si>
    <t>TERCERO LOPEZ FERNANDO</t>
  </si>
  <si>
    <t>lopez-fernando-tercero</t>
  </si>
  <si>
    <t>Tercero Fernando</t>
  </si>
  <si>
    <t>fernando-tercero</t>
  </si>
  <si>
    <t>Tobul Yair</t>
  </si>
  <si>
    <t>yair-tobul</t>
  </si>
  <si>
    <t>Trisconi Elia</t>
  </si>
  <si>
    <t>elia-trisconi</t>
  </si>
  <si>
    <t>Utengen Sandstad Halvor</t>
  </si>
  <si>
    <t>sandstad-halvor-utengen</t>
  </si>
  <si>
    <t>VAL'O ROMAN</t>
  </si>
  <si>
    <t>roman-val-o</t>
  </si>
  <si>
    <t>VAN ANROOIJ SHIRIN</t>
  </si>
  <si>
    <t>anrooij-van</t>
  </si>
  <si>
    <t>VAN DEN BIGGELAAR</t>
  </si>
  <si>
    <t>biggelaar-van-den</t>
  </si>
  <si>
    <t>VERONI RICCARDO</t>
  </si>
  <si>
    <t>riccardo-veroni</t>
  </si>
  <si>
    <t>VESHNIAKOV DANIIL</t>
  </si>
  <si>
    <t>daniil-veshniakov</t>
  </si>
  <si>
    <t>VILLA MATTEO</t>
  </si>
  <si>
    <t>matteo-villa</t>
  </si>
  <si>
    <t>Van De Velde Julie</t>
  </si>
  <si>
    <t>de-velde-julie-van</t>
  </si>
  <si>
    <t>WIGGINS MICHEAL BEN</t>
  </si>
  <si>
    <t>micheal-ben-wiggins</t>
  </si>
  <si>
    <t>WROLICH SANTIAGO</t>
  </si>
  <si>
    <t>santiago-wrolich</t>
  </si>
  <si>
    <t>Wiesmayr Niklas</t>
  </si>
  <si>
    <t>niklas-wiesmayr</t>
  </si>
  <si>
    <t>Włodarczyk Dominika</t>
  </si>
  <si>
    <t>dominika-w-odarczyk</t>
  </si>
  <si>
    <t>Włodarski Marcin</t>
  </si>
  <si>
    <t>marcin-w-odarski</t>
  </si>
  <si>
    <t>ZAMUDIO GARCIA MAYTE</t>
  </si>
  <si>
    <t>mayte-zamudio-garcia</t>
  </si>
  <si>
    <t>ZOZULIA ANDRII</t>
  </si>
  <si>
    <t>andrii-zozulia</t>
  </si>
  <si>
    <t>Zamudio Gianluigi</t>
  </si>
  <si>
    <t>gianluigi-zamudio</t>
  </si>
  <si>
    <t>Zandri Francesco</t>
  </si>
  <si>
    <t>francesco-zandri</t>
  </si>
  <si>
    <t>de Jong Loïs</t>
  </si>
  <si>
    <t>jong-lois-de</t>
  </si>
  <si>
    <t>de Jong Thalita</t>
  </si>
  <si>
    <t>jong-thalita-de</t>
  </si>
  <si>
    <t>de Marigny-Lagesse Lucie</t>
  </si>
  <si>
    <t>marigny-lagesse-lucie-de</t>
  </si>
  <si>
    <t>de Zoete Mylène</t>
  </si>
  <si>
    <t>zoete-mylene-de</t>
  </si>
  <si>
    <t>van 't Geloof Marjolein</t>
  </si>
  <si>
    <t>t-geloof-marjolein-van</t>
  </si>
  <si>
    <t>van Agt Eva</t>
  </si>
  <si>
    <t>agt-eva-van</t>
  </si>
  <si>
    <t>van Rijswijk Hannah</t>
  </si>
  <si>
    <t>rijswijk-hannah-van</t>
  </si>
  <si>
    <t>van Rooijen Sofie</t>
  </si>
  <si>
    <t>rooijen-sofie-van</t>
  </si>
  <si>
    <t>van der Duin Maike</t>
  </si>
  <si>
    <t>der-duin-maike-van</t>
  </si>
  <si>
    <t>von Berswordt Sophie</t>
  </si>
  <si>
    <t>berswordt-sophie-von</t>
  </si>
  <si>
    <t>Østdal Linus</t>
  </si>
  <si>
    <t>linus-stdal</t>
  </si>
  <si>
    <t>celle gialle (colonne E-F) = da compilare tu — incolla il link del profilo PCS trovato e, se vuoi, una nota</t>
  </si>
  <si>
    <t>lista corretta rispetto al giro grezzo: esclusi gli atleti che in realta' hanno gia' un profilo PCS funzionante (falsi negativi da intoppi di rete durante lo scraping)</t>
  </si>
  <si>
    <t>Questi 15 nomi erano nel file di ieri ma il roster-import di oggi li ha già trovati — non serve più cercarli a mano.</t>
  </si>
  <si>
    <t>BLASI CAIROL PAULA</t>
  </si>
  <si>
    <t>COLES-LYSTER MAGGIE</t>
  </si>
  <si>
    <t>COSTA-STARICCO GIULIA</t>
  </si>
  <si>
    <t>DE CASSAN DAVIDE</t>
  </si>
  <si>
    <t>DE GENDT LEANDER</t>
  </si>
  <si>
    <t>DE LAURENTIIS GIUSEPPE</t>
  </si>
  <si>
    <t>DE LONGHI LORENZO</t>
  </si>
  <si>
    <t>DE TOTTO ANDREA</t>
  </si>
  <si>
    <t>DE VRIES FEMKE</t>
  </si>
  <si>
    <t>FARSETTI BRANDO</t>
  </si>
  <si>
    <t>LE PANN SOEN</t>
  </si>
  <si>
    <t>MAGLI FILIPPO</t>
  </si>
  <si>
    <t>NIEWIADOMA KASIA</t>
  </si>
  <si>
    <t>PEZZO ROSOLA KEVIN</t>
  </si>
  <si>
    <t>SHTIN VALERII</t>
  </si>
  <si>
    <t>Nome team (FCI)</t>
  </si>
  <si>
    <t>Slug PCS trovato a mano</t>
  </si>
  <si>
    <t>BUSTESE OLONIA A.S.D.</t>
  </si>
  <si>
    <t>https://www.procyclingstats.com/team/bustese-olonia-asd-2026</t>
  </si>
  <si>
    <t>S.C. ROMANESE ASD</t>
  </si>
  <si>
    <t>https://www.procyclingstats.com/team/sc-romanese-cycling-team-2026</t>
  </si>
  <si>
    <t>TEAM ECOTEK ZERO24</t>
  </si>
  <si>
    <t>https://www.procyclingstats.com/team/team-ecotek-2026</t>
  </si>
  <si>
    <t>G.S.GIOVANI GIUSSANESI A.S.D.</t>
  </si>
  <si>
    <t>https://www.procyclingstats.com/team/gs-giovani-giussanesi-2026</t>
  </si>
  <si>
    <t>U.S. MONTECORONA</t>
  </si>
  <si>
    <t>https://www.procyclingstats.com/team/u-s-montecorona-2026</t>
  </si>
  <si>
    <t>V.C.MENDRISIO</t>
  </si>
  <si>
    <t>https://www.procyclingstats.com/team/velo-club-mendrisio-2026</t>
  </si>
  <si>
    <t>BELTRAMI TSA-LA RISORSA UMANA-VC RE</t>
  </si>
  <si>
    <t>https://www.procyclingstats.com/team/beltrami-tsa-la-risorsa-umana-2026//</t>
  </si>
  <si>
    <t>ACCADEMIA CICLISTICA</t>
  </si>
  <si>
    <t>https://www.procyclingstats.com/team/accademia-ciclistica-caneva-2026//</t>
  </si>
  <si>
    <t>TEAM TIEPOLO U19 DEVO</t>
  </si>
  <si>
    <t>https://www.procyclingstats.com/team/team-tiepolo-u19-devo-nsn-2026//</t>
  </si>
  <si>
    <t>CAMPANA IMBALLAGGI MORBIATO TRENTINO</t>
  </si>
  <si>
    <t>https://www.procyclingstats.com/team/campana-imballaggi-junior-2026//</t>
  </si>
  <si>
    <t>https://www.procyclingstats.com/team/campana-imballaggi-junior-2026</t>
  </si>
  <si>
    <t>FAIZANE' CSZ SANDRIGO BIKE</t>
  </si>
  <si>
    <t>https://www.procyclingstats.com/team/faizane-csz-sandrigo-bike-2026/overview/start</t>
  </si>
  <si>
    <t>A.S.D. POSTUMIA 73 D.L. CICLISMO</t>
  </si>
  <si>
    <t>https://www.procyclingstats.com/team/asd-postumia-73-d-l-ciclismo-2026/overview/start</t>
  </si>
  <si>
    <t>A.S.D. CICLISTICA MONSELICE</t>
  </si>
  <si>
    <t>https://www.procyclingstats.com/team/autozai-contri-2026</t>
  </si>
  <si>
    <t>VELEKA TEAM</t>
  </si>
  <si>
    <t>https://www.procyclingstats.com/team/international-veleka-team-2026</t>
  </si>
  <si>
    <t>LMC BOGOTA'</t>
  </si>
  <si>
    <t>A.R.MONEX PRO CYCLING TEAM</t>
  </si>
  <si>
    <t>https://www.procyclingstats.com/team/a-r-monex-pro-cyclingteam-2026</t>
  </si>
  <si>
    <t>https://www.procyclingstats.com/team/ar-monex-womens-pro-cycling-team-2026/overview/start</t>
  </si>
  <si>
    <t>TEAM WILIER BREGANZE</t>
  </si>
  <si>
    <t>https://www.procyclingstats.com/team/asd-breganze-cicloclub-96-team-wilier-2026/overview/start</t>
  </si>
  <si>
    <t>CANTURINO 1902 A.S.D.</t>
  </si>
  <si>
    <t>https://www.procyclingstats.com/team/team-ceresetto-canturino-2026/overview/start</t>
  </si>
  <si>
    <t>U.C.CONSCIO PEDALE DEL SILE</t>
  </si>
  <si>
    <t>https://www.procyclingstats.com/team/uc-conscio-pedale-del-sile-2026</t>
  </si>
  <si>
    <t>V.C. SOMMESE</t>
  </si>
  <si>
    <t>GAZZANIGHESE ASD</t>
  </si>
  <si>
    <t>A.S.D. SACILESE</t>
  </si>
  <si>
    <t>ASD VELOCE CLUB BORGO</t>
  </si>
  <si>
    <t>IND. FORNITURE MORO-C&amp;G CAPITAL</t>
  </si>
  <si>
    <t>V.C. BASSANO 1892</t>
  </si>
  <si>
    <t>C.S. LIBERTAS SCORZE'</t>
  </si>
  <si>
    <t>LIBERTAS RAIFFEISEN LAIVES ASD</t>
  </si>
  <si>
    <t>ASD TEAM PETRUCCI</t>
  </si>
  <si>
    <t>C.C. FORTI E VELOCI</t>
  </si>
  <si>
    <t>TEAM SENAGHESE GUERRINI</t>
  </si>
  <si>
    <t>ACS A PEDAL FORWORD - ROMANIA</t>
  </si>
  <si>
    <t>MAZZANO A.S.D.</t>
  </si>
  <si>
    <t>ETHICA ZERO24 CYCLING TEAM ECOTEK</t>
  </si>
  <si>
    <t>S.C.RECANATI MARINELLI CANTARINI</t>
  </si>
  <si>
    <t>ASD EFFETTO CICLISMO - NOI SPORT</t>
  </si>
  <si>
    <t>CYCLING TEAM NIAL NIZZOLI ALMO</t>
  </si>
  <si>
    <t>ASD CICLOTOUR</t>
  </si>
  <si>
    <t>ASD ROBUR BARCELLONA</t>
  </si>
  <si>
    <t>MADONE-TEAM BIKE SICILIA</t>
  </si>
  <si>
    <t>S.S.D. PEDALE SANTANTONESE</t>
  </si>
  <si>
    <t>MULTICAR GRUPPO AMARU'</t>
  </si>
  <si>
    <t>CAMB!KE</t>
  </si>
  <si>
    <t>TEAM CESARO-NERI-LUCCHINI</t>
  </si>
  <si>
    <t>TEAM VALDINIEVOLE A.S.D.</t>
  </si>
  <si>
    <t>SALUS CICLISTICA SEREGNO DE ROSA</t>
  </si>
  <si>
    <t>G.S. IPERFINISH STABBIA</t>
  </si>
  <si>
    <t>AC F. BESSI CALENZANO DONORATICO</t>
  </si>
  <si>
    <t>TEAM PIU'SPORT</t>
  </si>
  <si>
    <t>PIESSE CYCLING TEAM</t>
  </si>
  <si>
    <t>GIUSFREDI</t>
  </si>
  <si>
    <t>U.C. CITTA' DI CASTELLO A.S.D.</t>
  </si>
  <si>
    <t>V.C. PONTENURE 1957-VIGORPLANTT</t>
  </si>
  <si>
    <t>GS ASPIRATORI OTELLI ALCHEM CWC</t>
  </si>
  <si>
    <t>TEAM CICLISTICO PALETTI</t>
  </si>
  <si>
    <t>S.C.COTIGNOLESE</t>
  </si>
  <si>
    <t>A.S.D. S.C. CERETOLESE 1969</t>
  </si>
  <si>
    <t>U.S. CALCARA</t>
  </si>
  <si>
    <t>ALBA OROBIA - BIASSONO</t>
  </si>
  <si>
    <t>G.S. ALZATE BRIANZA - SYSTEM CAR</t>
  </si>
  <si>
    <t>MADONNA DI CAMPAGNA</t>
  </si>
  <si>
    <t>PEDALE OSSOLANO</t>
  </si>
  <si>
    <t>SANTA CRUZ TSA BELTRAMI</t>
  </si>
  <si>
    <t>UC EMPOLESE</t>
  </si>
  <si>
    <t>VELO CLUB S.C. EMPOLI</t>
  </si>
  <si>
    <t>GS BERTI MOBILI BENASSI</t>
  </si>
  <si>
    <t>CONTRABAND CYCLING TEAM ASD</t>
  </si>
  <si>
    <t>CICLISTICA BORDIGHERA</t>
  </si>
  <si>
    <t>UC COLTANO GRUBE COSTRUZIONI</t>
  </si>
  <si>
    <t>UC PIANO DI MOMMIO - SPEEDY BIKE</t>
  </si>
  <si>
    <t>PEDALE SARZANESE</t>
  </si>
  <si>
    <t>POL. MILLELUCI CICLISMO</t>
  </si>
  <si>
    <t>A.S.D. GDS TEAM COMPETITION</t>
  </si>
  <si>
    <t>A.S.D. PROBIKE ERICE</t>
  </si>
  <si>
    <t>REVOLUTION BIKE</t>
  </si>
  <si>
    <t>ASD SICILY BIKE ACADEMY</t>
  </si>
  <si>
    <t>ASD LPM GROUP</t>
  </si>
  <si>
    <t>NONSOLOBIKE</t>
  </si>
  <si>
    <t>TEAM NIBALI</t>
  </si>
  <si>
    <t>ARAN CUCINE VEJUS</t>
  </si>
  <si>
    <t>A.S.A.C.I. - EVONACICLI</t>
  </si>
  <si>
    <t>A.S.D. AMICISUPERSKI</t>
  </si>
  <si>
    <t>V.C. LUGANO</t>
  </si>
  <si>
    <t>IL PIRATA SAMA RICAMBI OTC</t>
  </si>
  <si>
    <t>TEAM GIUNIGOR - B.BIKE</t>
  </si>
  <si>
    <t>FREE BIKE LT - LOGISTICA AMBIENTALE</t>
  </si>
  <si>
    <t>C.C. APPENNINICO 1907</t>
  </si>
  <si>
    <t>A.S.D. SPORTEVEN CYCLING GROUP</t>
  </si>
  <si>
    <t>VC SAN VENDEMIANO</t>
  </si>
  <si>
    <t>S.C. CAVRIAGO</t>
  </si>
  <si>
    <t>PEDALE RIMINESE FRECCE ROSSE</t>
  </si>
  <si>
    <t>A.S.D. CICLISTICA 2000</t>
  </si>
  <si>
    <t>ASD G. C. FAUSTO COPPI</t>
  </si>
  <si>
    <t>VC CREMONESE</t>
  </si>
  <si>
    <t>ASS. CICLISTICA RECANATI</t>
  </si>
  <si>
    <t>U.C.PESSANO A.S.D.</t>
  </si>
  <si>
    <t>POL. MOLINELLO</t>
  </si>
  <si>
    <t>G.S. PREALPINO A.S.D.</t>
  </si>
  <si>
    <t>OXYGEN EBIKE STORE BRESCIA</t>
  </si>
  <si>
    <t>UC COSTAMASNAGA ASD</t>
  </si>
  <si>
    <t>S.C. BRUGHERIO SPORTIVA ASD</t>
  </si>
  <si>
    <t>CRAZY WHEELS - CYCLING ACADEMY</t>
  </si>
  <si>
    <t>S.C. TERRANOVA FANCELLO CICLI</t>
  </si>
  <si>
    <t>POOL BIKE SERRAMANNA</t>
  </si>
  <si>
    <t>S.C. OZIERESE</t>
  </si>
  <si>
    <t>S.C. PATTADA</t>
  </si>
  <si>
    <t>SAMABIKE</t>
  </si>
  <si>
    <t>DUEPPI CYCLING PROJECT</t>
  </si>
  <si>
    <t>CANNEDU ITTIRI "A. MANCA" ASD</t>
  </si>
  <si>
    <t>SESTU BIKE A.S.D.</t>
  </si>
  <si>
    <t>ALGHERO BIKE A.S.D.</t>
  </si>
  <si>
    <t>S.C. MONTEPONI A.S.D.</t>
  </si>
  <si>
    <t>U.S. FORTI E LIBERI - ZANETTI CICLI</t>
  </si>
  <si>
    <t>G.S. TAVO BONIN BIKE</t>
  </si>
  <si>
    <t>MST CYCLING - SANDRIGO BIKE</t>
  </si>
  <si>
    <t>UC GODIGESE ABRA IRIDE</t>
  </si>
  <si>
    <t>UNIONE CICLISTICA MIRANO</t>
  </si>
  <si>
    <t>VELO JUNIOR NOVE</t>
  </si>
  <si>
    <t>U.C.S. OTTAVIO ZULIANI A.S.D.</t>
  </si>
  <si>
    <t>TEAM BOSCO DI ORSAGO</t>
  </si>
  <si>
    <t>G.C.POSTIOMA</t>
  </si>
  <si>
    <t>V CYCLING - ARICI CLAUDIA - PITON</t>
  </si>
  <si>
    <t>G.S. RONCO MAURIGI DELIO GALLINA</t>
  </si>
  <si>
    <t>FERALPI MONTECLARENSE ASD</t>
  </si>
  <si>
    <t>A.S.D. PEDALE CASTELLANO</t>
  </si>
  <si>
    <t>VANOTTI CYCLE TEAM</t>
  </si>
  <si>
    <t>SAN GEO A.S.D.</t>
  </si>
  <si>
    <t>WSV DE PEDDELAARS</t>
  </si>
  <si>
    <t>GHEDI CICLISMO ASD - BIESSE CARRERA</t>
  </si>
  <si>
    <t>TEAM TECHNIPES #INEMILIAROMAGNA</t>
  </si>
  <si>
    <t>GALLINA LUCCHINI ECOTEK</t>
  </si>
  <si>
    <t>VELO CLUB CATTOLICA</t>
  </si>
  <si>
    <t>ARDENS CYCLING TEAM</t>
  </si>
  <si>
    <t>S. C. MINCIO-CHIESE A.S.D</t>
  </si>
  <si>
    <t>A.S.D. GIOCA IN BICI OGLIO PO</t>
  </si>
  <si>
    <t>S.C.D.ALMA JUVENTUS FANO</t>
  </si>
  <si>
    <t>S.C. TORRILE PR</t>
  </si>
  <si>
    <t>S.C. PIACENZA A.S.D.</t>
  </si>
  <si>
    <t>VIGOR - CYCLING TEAM</t>
  </si>
  <si>
    <t>TEAM SERIO</t>
  </si>
  <si>
    <t>U.S. PEDALE ARCORESE ASD</t>
  </si>
  <si>
    <t>CICLISTICA OMNIA IMOLA</t>
  </si>
  <si>
    <t>TOYOTA VALENCIA SAV</t>
  </si>
  <si>
    <t>HORIZONS CYCLING CLUB</t>
  </si>
  <si>
    <t>LOMBARDIA</t>
  </si>
  <si>
    <t>VENETO</t>
  </si>
  <si>
    <t>TRENTO</t>
  </si>
  <si>
    <t>FRIULI VENEZIA GIULIA</t>
  </si>
  <si>
    <t>EMILIA ROMAGNA</t>
  </si>
  <si>
    <t>BOLZANO</t>
  </si>
  <si>
    <t>LIGURIA</t>
  </si>
  <si>
    <t>PUGLIA</t>
  </si>
  <si>
    <t>TOSCANA</t>
  </si>
  <si>
    <t>TEAM POLTI VISITMALTA</t>
  </si>
  <si>
    <t>MG K-VIS COSTRUZIONI E AMBIENTE</t>
  </si>
  <si>
    <t>GOODSHOP YOYOGURT</t>
  </si>
  <si>
    <t>GS MALTINTI LAMPADARI BANCA CAMBIANO</t>
  </si>
  <si>
    <t>U.C. PIASCO</t>
  </si>
  <si>
    <t>NORDEST PETRUCCI ASSALI STEFEN</t>
  </si>
  <si>
    <t>AUTOZAI-CONTRI</t>
  </si>
  <si>
    <t>CLUB DEPORTIVO TRI SPORT</t>
  </si>
  <si>
    <t>TEAM GENERAL SYSTEM</t>
  </si>
  <si>
    <t>SIDERMEC - SLP</t>
  </si>
  <si>
    <t>TEAM VANGI TOMMASINI IL PIRATA</t>
  </si>
  <si>
    <t>ITALIA NUOVA BOLOGNA</t>
  </si>
  <si>
    <t>QUILIANO BIKE SPEED WHEEL</t>
  </si>
  <si>
    <t>A.S.D. G.S. LUC BOVOLONE</t>
  </si>
  <si>
    <t>BRUNO GAIGA C.A.M.P.I.</t>
  </si>
  <si>
    <t>A.S.D. US AUSONIA CSI PESCANTINA</t>
  </si>
  <si>
    <t>LA TERMOPIAVE VALCAVASIA JUNIOR TEAM</t>
  </si>
  <si>
    <t>GS CARTURA NALIN</t>
  </si>
  <si>
    <t>POOL CANTU' - SOVICO - GB TEAM</t>
  </si>
  <si>
    <t>V.C. CASSANO MAGNAGO 1992</t>
  </si>
  <si>
    <t>PROGETTO CICLISMO - RODENGO S. ASD</t>
  </si>
  <si>
    <t>1050 BIKE TEAM</t>
  </si>
  <si>
    <t>TEAM FACT ACADEMY</t>
  </si>
  <si>
    <t>GS BUTESE</t>
  </si>
  <si>
    <t>A.S.D.- V.C.MONTEBELLUNA</t>
  </si>
  <si>
    <t>PEDALE MARENESE GINO BARTALI</t>
  </si>
  <si>
    <t>UC FOEN MICTU</t>
  </si>
  <si>
    <t>A.S.D. U.S. F. COPPI MONTECCHIO P.</t>
  </si>
  <si>
    <t>SOC. SPORT.SANFIORESE</t>
  </si>
  <si>
    <t>S. C. FONTANAFREDDA</t>
  </si>
  <si>
    <t>SPRINT VIDOR VALLATA ASD</t>
  </si>
  <si>
    <t>G.S. CERNUSCHESE TINO GADDA A.S.D.</t>
  </si>
  <si>
    <t>KTM ACADEMY LE MARMOTTE</t>
  </si>
  <si>
    <t>VAIANO BIKE</t>
  </si>
  <si>
    <t>S.S. STELLA ALPINA RENAZZO</t>
  </si>
  <si>
    <t>USD MONTECARLO CICLISMO</t>
  </si>
  <si>
    <t>S.C. GASTONE NENCINI</t>
  </si>
  <si>
    <t>PEDALE TOSCANO PONTICINO</t>
  </si>
  <si>
    <t>PIEMONTE</t>
  </si>
  <si>
    <t>VALLE D'AOSTA</t>
  </si>
  <si>
    <t>MASTROMARCO FC NIBALI</t>
  </si>
  <si>
    <t>ASD SWATT CLUB</t>
  </si>
  <si>
    <t>TEAM WSA KTM GRAZ</t>
  </si>
  <si>
    <t>POOL CANTU' GB TEAM A.S.D.</t>
  </si>
  <si>
    <t>S. C. CENE A. S. D.</t>
  </si>
  <si>
    <t>XDS ASTANA DEVELOPMENT TEAM</t>
  </si>
  <si>
    <t>SOUDAL QUICK-STEP DEVO TEAM</t>
  </si>
  <si>
    <t>EQUIPE CORBETTESE</t>
  </si>
  <si>
    <t>WWV HAGENS BERMAN - JAYCO</t>
  </si>
  <si>
    <t>LIDL - TREK</t>
  </si>
  <si>
    <t>FIAMME ORO</t>
  </si>
  <si>
    <t>GS FIAMME AZZURRE</t>
  </si>
  <si>
    <t>LABORAL KUTXA - FUNDACION EUSKADI</t>
  </si>
  <si>
    <t>MOVISTAR TEAM</t>
  </si>
  <si>
    <t>ROTOGAL GUADENSE</t>
  </si>
  <si>
    <t>CASANO</t>
  </si>
  <si>
    <t>E' VALTELLINA PEDALE MORBEGNESE</t>
  </si>
  <si>
    <t>TEAM GUERRINI SENAGHESE</t>
  </si>
  <si>
    <t>G.S. MASSI' SUPERMERCATI PONTIDA</t>
  </si>
  <si>
    <t>U.C.A.B. 1925 BIELLA - SEMPERLUX</t>
  </si>
  <si>
    <t>U.C. GUSPINI A.S.D.</t>
  </si>
  <si>
    <t>JU GREEN A.S.D. GORLA MINORE</t>
  </si>
  <si>
    <t>MARY J SWEET ANGEL ASD</t>
  </si>
  <si>
    <t>SAN MINIATO CICLISMO A.S.D.</t>
  </si>
  <si>
    <t>CICLISTICA DRO</t>
  </si>
  <si>
    <t>A.S.D. VELODROME MARCON</t>
  </si>
  <si>
    <t>IL PIRATA VANGI OTC</t>
  </si>
  <si>
    <t>ASD MORENO DI BIASE</t>
  </si>
  <si>
    <t>I CINGHIALI EVO</t>
  </si>
  <si>
    <t>TEAM BIKE SIRACUSA</t>
  </si>
  <si>
    <t>A.S.D. AF ARREDAMENTI TEAM CICLING</t>
  </si>
  <si>
    <t>SEI SPORT</t>
  </si>
  <si>
    <t>FOLIGNO CYCLING TEAM ASD</t>
  </si>
  <si>
    <t>ASD FUSION BIKE</t>
  </si>
  <si>
    <t>ASD GUBBIO CICLISMO MOCAIANA</t>
  </si>
  <si>
    <t>ASD TEAM MMBIKE ANDRIA RESTO AL SUD</t>
  </si>
  <si>
    <t>VELO CLUB SARROCH</t>
  </si>
  <si>
    <t>G.S. PEDALE SINISCOLESE</t>
  </si>
  <si>
    <t>RACING TEAM AGRIGENTO</t>
  </si>
  <si>
    <t>STAR CYCLING LAB</t>
  </si>
  <si>
    <t>A.S.D. MONGIBELLO MTB TEAM</t>
  </si>
  <si>
    <t>SC POTENTIA-RINASCITA ASD</t>
  </si>
  <si>
    <t>GS PIANELLO</t>
  </si>
  <si>
    <t>A.S.D CICLI TONTI CATTOLICA</t>
  </si>
  <si>
    <t>G.S. AVIS BIKE AMELIA</t>
  </si>
  <si>
    <t>G.S. ALTO ADIGE - SUDTIROLPOST</t>
  </si>
  <si>
    <t>RICHEZE ACADEMY</t>
  </si>
  <si>
    <t>U.P.O.L. PEDALE LUNGAVILLA A.S.D.</t>
  </si>
  <si>
    <t>U.C. SANGIULIANESE</t>
  </si>
  <si>
    <t>LOCO BIKERS</t>
  </si>
  <si>
    <t>TEAM LOGISTICA AMBIENTALE</t>
  </si>
  <si>
    <t>GCD PEDALE MANZANESE</t>
  </si>
  <si>
    <t>A.S.D. PEDALE RONCHESE</t>
  </si>
  <si>
    <t>ASD LIB.GRADISCA</t>
  </si>
  <si>
    <t>G.S. CICLI FIORIN CYCLING TEAM ASD</t>
  </si>
  <si>
    <t>ITALIA</t>
  </si>
  <si>
    <t>MOVISTAR TEAM ACADEMY</t>
  </si>
  <si>
    <t>LAZIO</t>
  </si>
  <si>
    <t>G.S. BAREGGESE A.S.D</t>
  </si>
  <si>
    <t>B-TEAM CYCLING PROJECT</t>
  </si>
  <si>
    <t>ASD STREGONE VOLANTE</t>
  </si>
  <si>
    <t>SIRACUSA ACADEMY CYCLING</t>
  </si>
  <si>
    <t>MEBLO JOGI PRO-CONCRETE</t>
  </si>
  <si>
    <t>CICLO TEAM TROPOVCI</t>
  </si>
  <si>
    <t>POGI TEAM UAE GENERALI</t>
  </si>
  <si>
    <t>SS AQUILA</t>
  </si>
  <si>
    <t>TIRANO BIKE</t>
  </si>
  <si>
    <t>CICLI PERACCHI SOVERE A.S.D.</t>
  </si>
  <si>
    <t>A.S.D. BELVEDERE-CICLONE</t>
  </si>
  <si>
    <t>A.S.D. TEAM EXTREME 2000</t>
  </si>
  <si>
    <t>KD SLOGA 1902 IDRIJA</t>
  </si>
  <si>
    <t>KK PANTAL</t>
  </si>
  <si>
    <t>V.C. EPOREDIESE CICLI TESSIORE</t>
  </si>
  <si>
    <t>S.C.SAN FELICE A.S.D.</t>
  </si>
  <si>
    <t>OROBICI</t>
  </si>
  <si>
    <t>US CARBONATE ASD</t>
  </si>
  <si>
    <t>OSIO SOTTO</t>
  </si>
  <si>
    <t>POL. ALBERGO-OLIVETO</t>
  </si>
  <si>
    <t>VIGNA FIORITA-BORGO MOLINO</t>
  </si>
  <si>
    <t>FACTOR RACING</t>
  </si>
  <si>
    <t>V.C. ORSAGO - OROGILDO</t>
  </si>
  <si>
    <t>ST KILDA CYCLING CLUB</t>
  </si>
  <si>
    <t>A.S.D. - G.C. EMIC</t>
  </si>
  <si>
    <t>CICLISTICA BUJESE - DIGAS</t>
  </si>
  <si>
    <t>TUDOR PRO CYCLING U23</t>
  </si>
  <si>
    <t>U.C TREVIGIANI ENERGIAPURA MARCHIOL</t>
  </si>
  <si>
    <t>ARA I SKIP CAPITAL</t>
  </si>
  <si>
    <t>ASD G.C. SISSIO TEAM</t>
  </si>
  <si>
    <t>TRIS STAMPI FIOR DI GRANO</t>
  </si>
  <si>
    <t>NURRI-ORROLI MTB A.S.D.</t>
  </si>
  <si>
    <t>FABIO ARU ACADEMY S.R.L. A.R.L.</t>
  </si>
  <si>
    <t>WCC - UCI WORLD CYCLING CENTRE</t>
  </si>
  <si>
    <t>FANINI PRO CYCLING</t>
  </si>
  <si>
    <t>PERUTNINA PTUJ</t>
  </si>
  <si>
    <t>TEAM RAP TIROL</t>
  </si>
  <si>
    <t>INFOCARS-ESTEMOTOR</t>
  </si>
  <si>
    <t>CICLISTICA PIERIS</t>
  </si>
  <si>
    <t>ASD 1D+ UN DENTE IN PIU'</t>
  </si>
  <si>
    <t>PEDALE BREMBILLESE</t>
  </si>
  <si>
    <t>G.S. LUPI VALLE D'AOSTA</t>
  </si>
  <si>
    <t>POMORIE</t>
  </si>
  <si>
    <t>A.S.D. GRUPPO CICLISTICO MATELICA</t>
  </si>
  <si>
    <t>S.C. VILLA S.ANTONIO CICLI COCCI</t>
  </si>
  <si>
    <t>A.S.D. AVIS BIKE RUVO</t>
  </si>
  <si>
    <t>ABRUZZO CYCLING TEAM</t>
  </si>
  <si>
    <t>U.C.FOLIGNO ASD</t>
  </si>
  <si>
    <t>A.S.D. CASTIGLIONESE</t>
  </si>
  <si>
    <t>ALBA BRA LANGHE ROERO</t>
  </si>
  <si>
    <t>UA' CYCLING TEAM</t>
  </si>
  <si>
    <t>ESPERIA PIASCO</t>
  </si>
  <si>
    <t>TSCHERNING CYCLING ACADEMY</t>
  </si>
  <si>
    <t>AR MONEX WMN PRO CYCLING TEAM</t>
  </si>
  <si>
    <t>TEAM CINGOLANI-SPECIALIZED</t>
  </si>
  <si>
    <t>TORELLI CYCLING TEAM</t>
  </si>
  <si>
    <t>S.C.V. BIKE CADORAGO ASD</t>
  </si>
  <si>
    <t>LOTTO INTERNARCHE' LADIES</t>
  </si>
  <si>
    <t>TEAM VISMA LEASE A BIKE</t>
  </si>
  <si>
    <t>UNO-X MOBILITY</t>
  </si>
  <si>
    <t>AG INSURANCE SOUDAL</t>
  </si>
  <si>
    <t>SVIZZERA</t>
  </si>
  <si>
    <t>NORVEGIA</t>
  </si>
  <si>
    <t>OLANDA</t>
  </si>
  <si>
    <t>AUSTRALIA</t>
  </si>
  <si>
    <t>SPAGNA</t>
  </si>
  <si>
    <t>NAZIONALE UCRAINA</t>
  </si>
  <si>
    <t>A. D.PED. AZZURRO.RINASCITA</t>
  </si>
  <si>
    <t>ASD DP66 PINARELLO</t>
  </si>
  <si>
    <t>BIKE MOVEMENT - TRENTINOERBE</t>
  </si>
  <si>
    <t>U.S. AURORA TRENTO</t>
  </si>
  <si>
    <t>POLISPORTIVA TRIPETETOLO SEANESE</t>
  </si>
  <si>
    <t>NIPPO NUOVACOMAUTO OBOR</t>
  </si>
  <si>
    <t>GARLASCHESE A.S.D.</t>
  </si>
  <si>
    <t>ST MICHEL-PREFERENCE HOME-AUBER93</t>
  </si>
  <si>
    <t>TEAM PICNIC POSTNL</t>
  </si>
  <si>
    <t>MBH BANK CYCLING TEAM JUNIOR</t>
  </si>
  <si>
    <t>U.C.MONACO</t>
  </si>
  <si>
    <t>BLU TEAM</t>
  </si>
  <si>
    <t>BIKERS PETOSINO SCUOLA MTB</t>
  </si>
  <si>
    <t>ASD TIRRENO BIKE CICLI FATATO</t>
  </si>
  <si>
    <t>FLESSOFAB</t>
  </si>
  <si>
    <t>PROFBIKE ANGRI CYCLING TEAM</t>
  </si>
  <si>
    <t>A.S.D. MONTICELLI BIKE</t>
  </si>
  <si>
    <t>ASD CAMPOBELLO RUNNING &amp; BIKE</t>
  </si>
  <si>
    <t>DEKA RIDERS TEAM ASD</t>
  </si>
  <si>
    <t>ASD DONORI BIKE TEAM</t>
  </si>
  <si>
    <t>ZHIRAF</t>
  </si>
  <si>
    <t>A.S.D CICLISTICA G.BONZAGNI</t>
  </si>
  <si>
    <t>TEAM GO FAST PUGLIA ARADEO</t>
  </si>
  <si>
    <t>V.C. CITTA' DI MAROSTICA</t>
  </si>
  <si>
    <t>LEO CONSTRUCTIONS SSD</t>
  </si>
  <si>
    <t>ASD FK-BIKE SCORRANO</t>
  </si>
  <si>
    <t>SCUOLA DI CICLISMO FRANCO BALLERINI</t>
  </si>
  <si>
    <t>POL ASD RE-CYCLING</t>
  </si>
  <si>
    <t>MOTOSTAFFETTE POTENZA</t>
  </si>
  <si>
    <t>A.S.D. LUDOBIKE SCUOLA DI CICLISMO</t>
  </si>
  <si>
    <t>BELGIO</t>
  </si>
  <si>
    <t>KK NOVO MESTO</t>
  </si>
  <si>
    <t>AXION FUTURE TEAM</t>
  </si>
  <si>
    <t>UNIONE CICLISTICA OSSANESGA</t>
  </si>
  <si>
    <t>SKOLA  BCKLIZMA  ZAGREB</t>
  </si>
  <si>
    <t>V CYCLING ACADEMY S.S.D. A R.L.</t>
  </si>
  <si>
    <t>ASD NADIR ON THE ROAD</t>
  </si>
  <si>
    <t>ASSAGO TEAM EVOLUTION</t>
  </si>
  <si>
    <t>ASD VELO CLUB AVEZZANO BIKE LINEAORO</t>
  </si>
  <si>
    <t>SLOVENIA NATIONAL TEAM</t>
  </si>
  <si>
    <t>ACADEMY U19 REGION SUD</t>
  </si>
  <si>
    <t>NEUTRAL TEAM</t>
  </si>
  <si>
    <t>OVERALL TRE COLLI CYCLING TEAM</t>
  </si>
  <si>
    <t>PC BAIX EBRE TORTOSA</t>
  </si>
  <si>
    <t>BMX CLUB SARRIANS</t>
  </si>
  <si>
    <t>TEAM ESSERE</t>
  </si>
  <si>
    <t>PRO.GI.T. CYCLING TEAM</t>
  </si>
  <si>
    <t>ARKITANO MTB CLUB</t>
  </si>
  <si>
    <t>ASD TEAM FEMMINILE TRENTINO</t>
  </si>
  <si>
    <t>ENERGY TEAM A.S.D.</t>
  </si>
  <si>
    <t>MTB ACADEMY GIAVENO</t>
  </si>
  <si>
    <t>S.C. ORINESE A.S.D.</t>
  </si>
  <si>
    <t>BANNIA ASS.SPORT.DILETT.</t>
  </si>
  <si>
    <t>RKC ROMAN KREUZIGER</t>
  </si>
  <si>
    <t>AUSTRIA</t>
  </si>
  <si>
    <t>CANADA</t>
  </si>
  <si>
    <t>FRANCIA</t>
  </si>
  <si>
    <t>STATI UNITI</t>
  </si>
  <si>
    <t>REPUBBLICA CECA</t>
  </si>
  <si>
    <t>GERMANIA</t>
  </si>
  <si>
    <t>S.C. VALLE SERIANA - CENE A.S.D.</t>
  </si>
  <si>
    <t>ESTONIA</t>
  </si>
  <si>
    <t>DANIMARCA</t>
  </si>
  <si>
    <t>LETTONIA</t>
  </si>
  <si>
    <t>LUSSEMBURGO</t>
  </si>
  <si>
    <t>IRLANDA</t>
  </si>
  <si>
    <t>SVEZIA</t>
  </si>
  <si>
    <t>UCRAINA</t>
  </si>
  <si>
    <t>ASC KARDAUN-CARDANO</t>
  </si>
  <si>
    <t>ACS OLIMPIC ZARNESTI</t>
  </si>
  <si>
    <t>BK RIJEKA</t>
  </si>
  <si>
    <t>SOUDAL QUICK-STEP JUNIOR TEAM</t>
  </si>
  <si>
    <t>GI ESSE PRO CYCLING</t>
  </si>
  <si>
    <t>GS OLIMPIA VALDARNESE</t>
  </si>
  <si>
    <t>PETROLIKE</t>
  </si>
  <si>
    <t>NEXETIS TEAM</t>
  </si>
  <si>
    <t>UAE DEVELOPMENT TEAM</t>
  </si>
  <si>
    <t>NAZIONALE PARALIMPICA</t>
  </si>
  <si>
    <t>U.C. PREGNANA</t>
  </si>
  <si>
    <t>TEAM MAZZOLA P.G.C. U23</t>
  </si>
  <si>
    <t>GIFU DAIICHI HIGH SCHOOL</t>
  </si>
  <si>
    <t>GIALETO CICLISMO</t>
  </si>
  <si>
    <t>A.S.D. U.C. PISTOIESE TEAM</t>
  </si>
  <si>
    <t>CARISMA TEAM</t>
  </si>
  <si>
    <t>A.S.D. CICLO TEAM VALNOCE</t>
  </si>
  <si>
    <t>ASD LE FRECCE DELL'ETNA</t>
  </si>
  <si>
    <t>A.S.D. G.S. GULP! POOL VAL VIBRATA</t>
  </si>
  <si>
    <t>CANNIBAL BAHRAIN VICTORIUS</t>
  </si>
  <si>
    <t>JAM'S BIKE TEAM BUJA</t>
  </si>
  <si>
    <t>TEAM CICLI SCOTTO ISCHIA</t>
  </si>
  <si>
    <t>POL. GHISALBESE A.S.D.</t>
  </si>
  <si>
    <t>AVC AIX EN PROVENCE</t>
  </si>
  <si>
    <t>REATE CYCLING TEAM</t>
  </si>
  <si>
    <t>TEAM PROMOTECH - MG K-VIS</t>
  </si>
  <si>
    <t>MENTECORPO TEAM</t>
  </si>
  <si>
    <t>CRABBE DSTNY</t>
  </si>
  <si>
    <t>GRUPPO SPORTIVO PARMENSE</t>
  </si>
  <si>
    <t>A.S.D. ORANGE BIKE TEAM</t>
  </si>
  <si>
    <t>AIRTOX - CARL RAS</t>
  </si>
  <si>
    <t>GROUWELS - WATERSLEY R&amp;D</t>
  </si>
  <si>
    <t>DAL RISO AL ROSA</t>
  </si>
  <si>
    <t>POLISH CYCLING FEDERATION</t>
  </si>
  <si>
    <t>ASD TEAM MOOVEO</t>
  </si>
  <si>
    <t>VPT WHY SPORT</t>
  </si>
  <si>
    <t>TEAM GAIAPLAST BIBANESE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</si>
</sst>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9"/>
      <color rgb="FF7A7F8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B30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6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ocyclingstats.com/team/a-r-monex-pro-cyclingteam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5" customWidth="1"/>
    <col min="2" max="3" width="32" customWidth="1"/>
    <col min="4" max="4" width="14" customWidth="1"/>
    <col min="5" max="5" width="40" customWidth="1"/>
    <col min="6" max="6" width="24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>
        <v>1</v>
      </c>
      <c r="B2" t="s">
        <v>6</v>
      </c>
      <c r="C2" t="s">
        <v>7</v>
      </c>
      <c r="D2" t="str">
        <f>HYPERLINK("https://www.procyclingstats.com/search.php?term=ACTIS+SAMUELE","Cerca")</f>
        <v>Cerca</v>
      </c>
      <c r="E2" t="s">
        <v>8</v>
      </c>
      <c r="F2" t="s">
        <v>8</v>
      </c>
    </row>
    <row r="3" spans="1:6">
      <c r="A3">
        <v>2</v>
      </c>
      <c r="B3" t="s">
        <v>9</v>
      </c>
      <c r="C3" t="s">
        <v>10</v>
      </c>
      <c r="D3" t="str">
        <f>HYPERLINK("https://www.procyclingstats.com/search.php?term=ARGENTINO+SALVATORE","Cerca")</f>
        <v>Cerca</v>
      </c>
      <c r="E3" t="s">
        <v>8</v>
      </c>
      <c r="F3" t="s">
        <v>8</v>
      </c>
    </row>
    <row r="4" spans="1:6">
      <c r="A4">
        <v>3</v>
      </c>
      <c r="B4" t="s">
        <v>11</v>
      </c>
      <c r="C4" t="s">
        <v>12</v>
      </c>
      <c r="D4" t="str">
        <f>HYPERLINK("https://www.procyclingstats.com/search.php?term=ASTORRI+MARTINO","Cerca")</f>
        <v>Cerca</v>
      </c>
      <c r="E4" t="s">
        <v>8</v>
      </c>
      <c r="F4" t="s">
        <v>8</v>
      </c>
    </row>
    <row r="5" spans="1:6">
      <c r="A5">
        <v>4</v>
      </c>
      <c r="B5" t="s">
        <v>13</v>
      </c>
      <c r="C5" t="s">
        <v>14</v>
      </c>
      <c r="D5" t="str">
        <f>HYPERLINK("https://www.procyclingstats.com/search.php?term=AYALA+ARELLANO+EDUARD+EMANUEL","Cerca")</f>
        <v>Cerca</v>
      </c>
      <c r="E5" t="s">
        <v>8</v>
      </c>
      <c r="F5" t="s">
        <v>8</v>
      </c>
    </row>
    <row r="6" spans="1:6">
      <c r="A6">
        <v>5</v>
      </c>
      <c r="B6" t="s">
        <v>15</v>
      </c>
      <c r="C6" t="s">
        <v>16</v>
      </c>
      <c r="D6" t="str">
        <f>HYPERLINK("https://www.procyclingstats.com/search.php?term=Alhach+Gaetanna","Cerca")</f>
        <v>Cerca</v>
      </c>
      <c r="E6" t="s">
        <v>8</v>
      </c>
      <c r="F6" t="s">
        <v>8</v>
      </c>
    </row>
    <row r="7" spans="1:6">
      <c r="A7">
        <v>6</v>
      </c>
      <c r="B7" t="s">
        <v>17</v>
      </c>
      <c r="C7" t="s">
        <v>18</v>
      </c>
      <c r="D7" t="str">
        <f>HYPERLINK("https://www.procyclingstats.com/search.php?term=Amondarain+Naia","Cerca")</f>
        <v>Cerca</v>
      </c>
      <c r="E7" t="s">
        <v>8</v>
      </c>
      <c r="F7" t="s">
        <v>8</v>
      </c>
    </row>
    <row r="8" spans="1:6">
      <c r="A8">
        <v>7</v>
      </c>
      <c r="B8" t="s">
        <v>19</v>
      </c>
      <c r="C8" t="s">
        <v>20</v>
      </c>
      <c r="D8" t="str">
        <f>HYPERLINK("https://www.procyclingstats.com/search.php?term=Anderson+Solbjørk+Minke","Cerca")</f>
        <v>Cerca</v>
      </c>
      <c r="E8" t="s">
        <v>8</v>
      </c>
      <c r="F8" t="s">
        <v>8</v>
      </c>
    </row>
    <row r="9" spans="1:6">
      <c r="A9">
        <v>8</v>
      </c>
      <c r="B9" t="s">
        <v>21</v>
      </c>
      <c r="C9" t="s">
        <v>22</v>
      </c>
      <c r="D9" t="str">
        <f>HYPERLINK("https://www.procyclingstats.com/search.php?term=Aubry+Julia","Cerca")</f>
        <v>Cerca</v>
      </c>
      <c r="E9" t="s">
        <v>8</v>
      </c>
      <c r="F9" t="s">
        <v>8</v>
      </c>
    </row>
    <row r="10" spans="1:6">
      <c r="A10">
        <v>9</v>
      </c>
      <c r="B10" t="s">
        <v>23</v>
      </c>
      <c r="C10" t="s">
        <v>24</v>
      </c>
      <c r="D10" t="str">
        <f>HYPERLINK("https://www.procyclingstats.com/search.php?term=Azzini+Tuan","Cerca")</f>
        <v>Cerca</v>
      </c>
      <c r="E10" t="s">
        <v>8</v>
      </c>
      <c r="F10" t="s">
        <v>8</v>
      </c>
    </row>
    <row r="11" spans="1:6">
      <c r="A11">
        <v>10</v>
      </c>
      <c r="B11" t="s">
        <v>25</v>
      </c>
      <c r="C11" t="s">
        <v>26</v>
      </c>
      <c r="D11" t="str">
        <f>HYPERLINK("https://www.procyclingstats.com/search.php?term=BALLIANA+ENRICO","Cerca")</f>
        <v>Cerca</v>
      </c>
      <c r="E11" t="s">
        <v>8</v>
      </c>
      <c r="F11" t="s">
        <v>8</v>
      </c>
    </row>
    <row r="12" spans="1:6">
      <c r="A12">
        <v>11</v>
      </c>
      <c r="B12" t="s">
        <v>27</v>
      </c>
      <c r="C12" t="s">
        <v>28</v>
      </c>
      <c r="D12" t="str">
        <f>HYPERLINK("https://www.procyclingstats.com/search.php?term=BANDINI+FILIPPO","Cerca")</f>
        <v>Cerca</v>
      </c>
      <c r="E12" t="s">
        <v>8</v>
      </c>
      <c r="F12" t="s">
        <v>8</v>
      </c>
    </row>
    <row r="13" spans="1:6">
      <c r="A13">
        <v>12</v>
      </c>
      <c r="B13" t="s">
        <v>29</v>
      </c>
      <c r="C13" t="s">
        <v>30</v>
      </c>
      <c r="D13" t="str">
        <f>HYPERLINK("https://www.procyclingstats.com/search.php?term=BANNER+WIL","Cerca")</f>
        <v>Cerca</v>
      </c>
      <c r="E13" t="s">
        <v>8</v>
      </c>
      <c r="F13" t="s">
        <v>8</v>
      </c>
    </row>
    <row r="14" spans="1:6">
      <c r="A14">
        <v>13</v>
      </c>
      <c r="B14" t="s">
        <v>31</v>
      </c>
      <c r="C14" t="s">
        <v>32</v>
      </c>
      <c r="D14" t="str">
        <f>HYPERLINK("https://www.procyclingstats.com/search.php?term=BERARDI+MICHELE","Cerca")</f>
        <v>Cerca</v>
      </c>
      <c r="E14" t="s">
        <v>8</v>
      </c>
      <c r="F14" t="s">
        <v>8</v>
      </c>
    </row>
    <row r="15" spans="1:6">
      <c r="A15">
        <v>14</v>
      </c>
      <c r="B15" t="s">
        <v>33</v>
      </c>
      <c r="C15" t="s">
        <v>34</v>
      </c>
      <c r="D15" t="str">
        <f>HYPERLINK("https://www.procyclingstats.com/search.php?term=BOLZONI+SIMONE","Cerca")</f>
        <v>Cerca</v>
      </c>
      <c r="E15" t="s">
        <v>8</v>
      </c>
      <c r="F15" t="s">
        <v>8</v>
      </c>
    </row>
    <row r="16" spans="1:6">
      <c r="A16">
        <v>15</v>
      </c>
      <c r="B16" t="s">
        <v>35</v>
      </c>
      <c r="C16" t="s">
        <v>36</v>
      </c>
      <c r="D16" t="str">
        <f>HYPERLINK("https://www.procyclingstats.com/search.php?term=Balestri+Mattia","Cerca")</f>
        <v>Cerca</v>
      </c>
      <c r="E16" t="s">
        <v>8</v>
      </c>
      <c r="F16" t="s">
        <v>8</v>
      </c>
    </row>
    <row r="17" spans="1:6">
      <c r="A17">
        <v>16</v>
      </c>
      <c r="B17" t="s">
        <v>37</v>
      </c>
      <c r="C17" t="s">
        <v>38</v>
      </c>
      <c r="D17" t="str">
        <f>HYPERLINK("https://www.procyclingstats.com/search.php?term=Bembi+Mattia","Cerca")</f>
        <v>Cerca</v>
      </c>
      <c r="E17" t="s">
        <v>8</v>
      </c>
      <c r="F17" t="s">
        <v>8</v>
      </c>
    </row>
    <row r="18" spans="1:6">
      <c r="A18">
        <v>17</v>
      </c>
      <c r="B18" t="s">
        <v>39</v>
      </c>
      <c r="C18" t="s">
        <v>40</v>
      </c>
      <c r="D18" t="str">
        <f>HYPERLINK("https://www.procyclingstats.com/search.php?term=Benassi+Matteo","Cerca")</f>
        <v>Cerca</v>
      </c>
      <c r="E18" t="s">
        <v>8</v>
      </c>
      <c r="F18" t="s">
        <v>8</v>
      </c>
    </row>
    <row r="19" spans="1:6">
      <c r="A19">
        <v>18</v>
      </c>
      <c r="B19" t="s">
        <v>41</v>
      </c>
      <c r="C19" t="s">
        <v>42</v>
      </c>
      <c r="D19" t="str">
        <f>HYPERLINK("https://www.procyclingstats.com/search.php?term=Benito+Adrián","Cerca")</f>
        <v>Cerca</v>
      </c>
      <c r="E19" t="s">
        <v>8</v>
      </c>
      <c r="F19" t="s">
        <v>8</v>
      </c>
    </row>
    <row r="20" spans="1:6">
      <c r="A20">
        <v>19</v>
      </c>
      <c r="B20" t="s">
        <v>43</v>
      </c>
      <c r="C20" t="s">
        <v>44</v>
      </c>
      <c r="D20" t="str">
        <f>HYPERLINK("https://www.procyclingstats.com/search.php?term=Bettelli+Davide","Cerca")</f>
        <v>Cerca</v>
      </c>
      <c r="E20" t="s">
        <v>8</v>
      </c>
      <c r="F20" t="s">
        <v>8</v>
      </c>
    </row>
    <row r="21" spans="1:6">
      <c r="A21">
        <v>20</v>
      </c>
      <c r="B21" t="s">
        <v>45</v>
      </c>
      <c r="C21" t="s">
        <v>46</v>
      </c>
      <c r="D21" t="str">
        <f>HYPERLINK("https://www.procyclingstats.com/search.php?term=Binda+Rossetti","Cerca")</f>
        <v>Cerca</v>
      </c>
      <c r="E21" t="s">
        <v>8</v>
      </c>
      <c r="F21" t="s">
        <v>8</v>
      </c>
    </row>
    <row r="22" spans="1:6">
      <c r="A22">
        <v>21</v>
      </c>
      <c r="B22" t="s">
        <v>47</v>
      </c>
      <c r="C22" t="s">
        <v>48</v>
      </c>
      <c r="D22" t="str">
        <f>HYPERLINK("https://www.procyclingstats.com/search.php?term=Bovo+Bianto+Kylian","Cerca")</f>
        <v>Cerca</v>
      </c>
      <c r="E22" t="s">
        <v>8</v>
      </c>
      <c r="F22" t="s">
        <v>8</v>
      </c>
    </row>
    <row r="23" spans="1:6">
      <c r="A23">
        <v>22</v>
      </c>
      <c r="B23" t="s">
        <v>49</v>
      </c>
      <c r="C23" t="s">
        <v>50</v>
      </c>
      <c r="D23" t="str">
        <f>HYPERLINK("https://www.procyclingstats.com/search.php?term=Brugier+Robin","Cerca")</f>
        <v>Cerca</v>
      </c>
      <c r="E23" t="s">
        <v>8</v>
      </c>
      <c r="F23" t="s">
        <v>8</v>
      </c>
    </row>
    <row r="24" spans="1:6">
      <c r="A24">
        <v>23</v>
      </c>
      <c r="B24" t="s">
        <v>51</v>
      </c>
      <c r="C24" t="s">
        <v>52</v>
      </c>
      <c r="D24" t="str">
        <f>HYPERLINK("https://www.procyclingstats.com/search.php?term=Buijsman+Nina","Cerca")</f>
        <v>Cerca</v>
      </c>
      <c r="E24" t="s">
        <v>8</v>
      </c>
      <c r="F24" t="s">
        <v>8</v>
      </c>
    </row>
    <row r="25" spans="1:6">
      <c r="A25">
        <v>24</v>
      </c>
      <c r="B25" t="s">
        <v>53</v>
      </c>
      <c r="C25" t="s">
        <v>54</v>
      </c>
      <c r="D25" t="str">
        <f>HYPERLINK("https://www.procyclingstats.com/search.php?term=CANCHON+GIL+JUAN+ESTEBAN","Cerca")</f>
        <v>Cerca</v>
      </c>
      <c r="E25" t="s">
        <v>8</v>
      </c>
      <c r="F25" t="s">
        <v>8</v>
      </c>
    </row>
    <row r="26" spans="1:6">
      <c r="A26">
        <v>25</v>
      </c>
      <c r="B26" t="s">
        <v>55</v>
      </c>
      <c r="C26" t="s">
        <v>56</v>
      </c>
      <c r="D26" t="str">
        <f>HYPERLINK("https://www.procyclingstats.com/search.php?term=CARUSO+SALVATORE","Cerca")</f>
        <v>Cerca</v>
      </c>
      <c r="E26" t="s">
        <v>8</v>
      </c>
      <c r="F26" t="s">
        <v>8</v>
      </c>
    </row>
    <row r="27" spans="1:6">
      <c r="A27">
        <v>26</v>
      </c>
      <c r="B27" t="s">
        <v>57</v>
      </c>
      <c r="C27" t="s">
        <v>58</v>
      </c>
      <c r="D27" t="str">
        <f>HYPERLINK("https://www.procyclingstats.com/search.php?term=CHYZHYKOV+HMORHII","Cerca")</f>
        <v>Cerca</v>
      </c>
      <c r="E27" t="s">
        <v>8</v>
      </c>
      <c r="F27" t="s">
        <v>8</v>
      </c>
    </row>
    <row r="28" spans="1:6">
      <c r="A28">
        <v>27</v>
      </c>
      <c r="B28" t="s">
        <v>59</v>
      </c>
      <c r="C28" t="s">
        <v>60</v>
      </c>
      <c r="D28" t="str">
        <f>HYPERLINK("https://www.procyclingstats.com/search.php?term=COATES+BENJAMIN","Cerca")</f>
        <v>Cerca</v>
      </c>
      <c r="E28" t="s">
        <v>8</v>
      </c>
      <c r="F28" t="s">
        <v>8</v>
      </c>
    </row>
    <row r="29" spans="1:6">
      <c r="A29">
        <v>28</v>
      </c>
      <c r="B29" t="s">
        <v>61</v>
      </c>
      <c r="C29" t="s">
        <v>62</v>
      </c>
      <c r="D29" t="str">
        <f>HYPERLINK("https://www.procyclingstats.com/search.php?term=COMETTO+FILIPPO","Cerca")</f>
        <v>Cerca</v>
      </c>
      <c r="E29" t="s">
        <v>8</v>
      </c>
      <c r="F29" t="s">
        <v>8</v>
      </c>
    </row>
    <row r="30" spans="1:6">
      <c r="A30">
        <v>29</v>
      </c>
      <c r="B30" t="s">
        <v>63</v>
      </c>
      <c r="C30" t="s">
        <v>64</v>
      </c>
      <c r="D30" t="str">
        <f>HYPERLINK("https://www.procyclingstats.com/search.php?term=CONGIU+FILIPPO","Cerca")</f>
        <v>Cerca</v>
      </c>
      <c r="E30" t="s">
        <v>8</v>
      </c>
      <c r="F30" t="s">
        <v>8</v>
      </c>
    </row>
    <row r="31" spans="1:6">
      <c r="A31">
        <v>30</v>
      </c>
      <c r="B31" t="s">
        <v>65</v>
      </c>
      <c r="C31" t="s">
        <v>66</v>
      </c>
      <c r="D31" t="str">
        <f>HYPERLINK("https://www.procyclingstats.com/search.php?term=Canino+Giuseppe","Cerca")</f>
        <v>Cerca</v>
      </c>
      <c r="E31" t="s">
        <v>8</v>
      </c>
      <c r="F31" t="s">
        <v>8</v>
      </c>
    </row>
    <row r="32" spans="1:6">
      <c r="A32">
        <v>31</v>
      </c>
      <c r="B32" t="s">
        <v>67</v>
      </c>
      <c r="C32" t="s">
        <v>68</v>
      </c>
      <c r="D32" t="str">
        <f>HYPERLINK("https://www.procyclingstats.com/search.php?term=Capelli+Luca","Cerca")</f>
        <v>Cerca</v>
      </c>
      <c r="E32" t="s">
        <v>8</v>
      </c>
      <c r="F32" t="s">
        <v>8</v>
      </c>
    </row>
    <row r="33" spans="1:6">
      <c r="A33">
        <v>32</v>
      </c>
      <c r="B33" t="s">
        <v>69</v>
      </c>
      <c r="C33" t="s">
        <v>70</v>
      </c>
      <c r="D33" t="str">
        <f>HYPERLINK("https://www.procyclingstats.com/search.php?term=Caroppo+Cristian","Cerca")</f>
        <v>Cerca</v>
      </c>
      <c r="E33" t="s">
        <v>8</v>
      </c>
      <c r="F33" t="s">
        <v>8</v>
      </c>
    </row>
    <row r="34" spans="1:6">
      <c r="A34">
        <v>33</v>
      </c>
      <c r="B34" t="s">
        <v>71</v>
      </c>
      <c r="C34" t="s">
        <v>72</v>
      </c>
      <c r="D34" t="str">
        <f>HYPERLINK("https://www.procyclingstats.com/search.php?term=Caselli+Armin","Cerca")</f>
        <v>Cerca</v>
      </c>
      <c r="E34" t="s">
        <v>8</v>
      </c>
      <c r="F34" t="s">
        <v>8</v>
      </c>
    </row>
    <row r="35" spans="1:6">
      <c r="A35">
        <v>34</v>
      </c>
      <c r="B35" t="s">
        <v>73</v>
      </c>
      <c r="C35" t="s">
        <v>74</v>
      </c>
      <c r="D35" t="str">
        <f>HYPERLINK("https://www.procyclingstats.com/search.php?term=Catellani+Marco","Cerca")</f>
        <v>Cerca</v>
      </c>
      <c r="E35" t="s">
        <v>8</v>
      </c>
      <c r="F35" t="s">
        <v>8</v>
      </c>
    </row>
    <row r="36" spans="1:6">
      <c r="A36">
        <v>35</v>
      </c>
      <c r="B36" t="s">
        <v>75</v>
      </c>
      <c r="C36" t="s">
        <v>76</v>
      </c>
      <c r="D36" t="str">
        <f>HYPERLINK("https://www.procyclingstats.com/search.php?term=Cazzaniga+Filippo","Cerca")</f>
        <v>Cerca</v>
      </c>
      <c r="E36" t="s">
        <v>8</v>
      </c>
      <c r="F36" t="s">
        <v>8</v>
      </c>
    </row>
    <row r="37" spans="1:6">
      <c r="A37">
        <v>36</v>
      </c>
      <c r="B37" t="s">
        <v>77</v>
      </c>
      <c r="C37" t="s">
        <v>78</v>
      </c>
      <c r="D37" t="str">
        <f>HYPERLINK("https://www.procyclingstats.com/search.php?term=Cisneros+Luis+Isuhan","Cerca")</f>
        <v>Cerca</v>
      </c>
      <c r="E37" t="s">
        <v>8</v>
      </c>
      <c r="F37" t="s">
        <v>8</v>
      </c>
    </row>
    <row r="38" spans="1:6">
      <c r="A38">
        <v>37</v>
      </c>
      <c r="B38" t="s">
        <v>79</v>
      </c>
      <c r="C38" t="s">
        <v>80</v>
      </c>
      <c r="D38" t="str">
        <f>HYPERLINK("https://www.procyclingstats.com/search.php?term=Costa-Starrico+Giulia","Cerca")</f>
        <v>Cerca</v>
      </c>
      <c r="E38" t="s">
        <v>8</v>
      </c>
      <c r="F38" t="s">
        <v>8</v>
      </c>
    </row>
    <row r="39" spans="1:6">
      <c r="A39">
        <v>38</v>
      </c>
      <c r="B39" t="s">
        <v>81</v>
      </c>
      <c r="C39" t="s">
        <v>82</v>
      </c>
      <c r="D39" t="str">
        <f>HYPERLINK("https://www.procyclingstats.com/search.php?term=Cuda+Gabriele","Cerca")</f>
        <v>Cerca</v>
      </c>
      <c r="E39" t="s">
        <v>8</v>
      </c>
      <c r="F39" t="s">
        <v>8</v>
      </c>
    </row>
    <row r="40" spans="1:6">
      <c r="A40">
        <v>39</v>
      </c>
      <c r="B40" t="s">
        <v>83</v>
      </c>
      <c r="C40" t="s">
        <v>84</v>
      </c>
      <c r="D40" t="str">
        <f>HYPERLINK("https://www.procyclingstats.com/search.php?term=Czeczinkarová+Jana","Cerca")</f>
        <v>Cerca</v>
      </c>
      <c r="E40" t="s">
        <v>8</v>
      </c>
      <c r="F40" t="s">
        <v>8</v>
      </c>
    </row>
    <row r="41" spans="1:6">
      <c r="A41">
        <v>40</v>
      </c>
      <c r="B41" t="s">
        <v>85</v>
      </c>
      <c r="C41" t="s">
        <v>86</v>
      </c>
      <c r="D41" t="str">
        <f>HYPERLINK("https://www.procyclingstats.com/search.php?term=D'APOLLONIO+REBECCA","Cerca")</f>
        <v>Cerca</v>
      </c>
      <c r="E41" t="s">
        <v>8</v>
      </c>
      <c r="F41" t="s">
        <v>8</v>
      </c>
    </row>
    <row r="42" spans="1:6">
      <c r="A42">
        <v>41</v>
      </c>
      <c r="B42" t="s">
        <v>87</v>
      </c>
      <c r="C42" t="s">
        <v>88</v>
      </c>
      <c r="D42" t="str">
        <f>HYPERLINK("https://www.procyclingstats.com/search.php?term=DALLA+BONA+THOMAS","Cerca")</f>
        <v>Cerca</v>
      </c>
      <c r="E42" t="s">
        <v>8</v>
      </c>
      <c r="F42" t="s">
        <v>8</v>
      </c>
    </row>
    <row r="43" spans="1:6">
      <c r="A43">
        <v>42</v>
      </c>
      <c r="B43" t="s">
        <v>89</v>
      </c>
      <c r="C43" t="s">
        <v>90</v>
      </c>
      <c r="D43" t="str">
        <f>HYPERLINK("https://www.procyclingstats.com/search.php?term=DALLA+PRIA+GIACOMO","Cerca")</f>
        <v>Cerca</v>
      </c>
      <c r="E43" t="s">
        <v>8</v>
      </c>
      <c r="F43" t="s">
        <v>8</v>
      </c>
    </row>
    <row r="44" spans="1:6">
      <c r="A44">
        <v>43</v>
      </c>
      <c r="B44" t="s">
        <v>91</v>
      </c>
      <c r="C44" t="s">
        <v>92</v>
      </c>
      <c r="D44" t="str">
        <f>HYPERLINK("https://www.procyclingstats.com/search.php?term=DALLE+CRODE+LORENZO","Cerca")</f>
        <v>Cerca</v>
      </c>
      <c r="E44" t="s">
        <v>8</v>
      </c>
      <c r="F44" t="s">
        <v>8</v>
      </c>
    </row>
    <row r="45" spans="1:6">
      <c r="A45">
        <v>44</v>
      </c>
      <c r="B45" t="s">
        <v>93</v>
      </c>
      <c r="C45" t="s">
        <v>94</v>
      </c>
      <c r="D45" t="str">
        <f>HYPERLINK("https://www.procyclingstats.com/search.php?term=DE+GRANDIS+MICHELA","Cerca")</f>
        <v>Cerca</v>
      </c>
      <c r="E45" t="s">
        <v>8</v>
      </c>
      <c r="F45" t="s">
        <v>8</v>
      </c>
    </row>
    <row r="46" spans="1:6">
      <c r="A46">
        <v>45</v>
      </c>
      <c r="B46" t="s">
        <v>95</v>
      </c>
      <c r="C46" t="s">
        <v>96</v>
      </c>
      <c r="D46" t="str">
        <f>HYPERLINK("https://www.procyclingstats.com/search.php?term=DE+MERCANTI+LUCA","Cerca")</f>
        <v>Cerca</v>
      </c>
      <c r="E46" t="s">
        <v>8</v>
      </c>
      <c r="F46" t="s">
        <v>8</v>
      </c>
    </row>
    <row r="47" spans="1:6">
      <c r="A47">
        <v>46</v>
      </c>
      <c r="B47" t="s">
        <v>97</v>
      </c>
      <c r="C47" t="s">
        <v>98</v>
      </c>
      <c r="D47" t="str">
        <f>HYPERLINK("https://www.procyclingstats.com/search.php?term=DE+MONTE+MATTEO","Cerca")</f>
        <v>Cerca</v>
      </c>
      <c r="E47" t="s">
        <v>8</v>
      </c>
      <c r="F47" t="s">
        <v>8</v>
      </c>
    </row>
    <row r="48" spans="1:6">
      <c r="A48">
        <v>47</v>
      </c>
      <c r="B48" t="s">
        <v>99</v>
      </c>
      <c r="C48" t="s">
        <v>100</v>
      </c>
      <c r="D48" t="str">
        <f>HYPERLINK("https://www.procyclingstats.com/search.php?term=DE+SMET+VIC","Cerca")</f>
        <v>Cerca</v>
      </c>
      <c r="E48" t="s">
        <v>8</v>
      </c>
      <c r="F48" t="s">
        <v>8</v>
      </c>
    </row>
    <row r="49" spans="1:6">
      <c r="A49">
        <v>48</v>
      </c>
      <c r="B49" t="s">
        <v>101</v>
      </c>
      <c r="C49" t="s">
        <v>102</v>
      </c>
      <c r="D49" t="str">
        <f>HYPERLINK("https://www.procyclingstats.com/search.php?term=DELL'OLIO+FRANCESCO","Cerca")</f>
        <v>Cerca</v>
      </c>
      <c r="E49" t="s">
        <v>8</v>
      </c>
      <c r="F49" t="s">
        <v>8</v>
      </c>
    </row>
    <row r="50" spans="1:6">
      <c r="A50">
        <v>49</v>
      </c>
      <c r="B50" t="s">
        <v>103</v>
      </c>
      <c r="C50" t="s">
        <v>104</v>
      </c>
      <c r="D50" t="str">
        <f>HYPERLINK("https://www.procyclingstats.com/search.php?term=DELLA+TORRE+CARLO","Cerca")</f>
        <v>Cerca</v>
      </c>
      <c r="E50" t="s">
        <v>8</v>
      </c>
      <c r="F50" t="s">
        <v>8</v>
      </c>
    </row>
    <row r="51" spans="1:6">
      <c r="A51">
        <v>50</v>
      </c>
      <c r="B51" t="s">
        <v>105</v>
      </c>
      <c r="C51" t="s">
        <v>106</v>
      </c>
      <c r="D51" t="str">
        <f>HYPERLINK("https://www.procyclingstats.com/search.php?term=DERGANC+ANTON","Cerca")</f>
        <v>Cerca</v>
      </c>
      <c r="E51" t="s">
        <v>8</v>
      </c>
      <c r="F51" t="s">
        <v>8</v>
      </c>
    </row>
    <row r="52" spans="1:6">
      <c r="A52">
        <v>51</v>
      </c>
      <c r="B52" t="s">
        <v>107</v>
      </c>
      <c r="C52" t="s">
        <v>108</v>
      </c>
      <c r="D52" t="str">
        <f>HYPERLINK("https://www.procyclingstats.com/search.php?term=DI+PRIMA+CHRISTIAN","Cerca")</f>
        <v>Cerca</v>
      </c>
      <c r="E52" t="s">
        <v>8</v>
      </c>
      <c r="F52" t="s">
        <v>8</v>
      </c>
    </row>
    <row r="53" spans="1:6">
      <c r="A53">
        <v>52</v>
      </c>
      <c r="B53" t="s">
        <v>109</v>
      </c>
      <c r="C53" t="s">
        <v>110</v>
      </c>
      <c r="D53" t="str">
        <f>HYPERLINK("https://www.procyclingstats.com/search.php?term=DI+SANTO+LEONARDO","Cerca")</f>
        <v>Cerca</v>
      </c>
      <c r="E53" t="s">
        <v>8</v>
      </c>
      <c r="F53" t="s">
        <v>8</v>
      </c>
    </row>
    <row r="54" spans="1:6">
      <c r="A54">
        <v>53</v>
      </c>
      <c r="B54" t="s">
        <v>111</v>
      </c>
      <c r="C54" t="s">
        <v>112</v>
      </c>
      <c r="D54" t="str">
        <f>HYPERLINK("https://www.procyclingstats.com/search.php?term=DOVESI+MANUEL","Cerca")</f>
        <v>Cerca</v>
      </c>
      <c r="E54" t="s">
        <v>8</v>
      </c>
      <c r="F54" t="s">
        <v>8</v>
      </c>
    </row>
    <row r="55" spans="1:6">
      <c r="A55">
        <v>54</v>
      </c>
      <c r="B55" t="s">
        <v>113</v>
      </c>
      <c r="C55" t="s">
        <v>114</v>
      </c>
      <c r="D55" t="str">
        <f>HYPERLINK("https://www.procyclingstats.com/search.php?term=Dalla+Cia+Alberto","Cerca")</f>
        <v>Cerca</v>
      </c>
      <c r="E55" t="s">
        <v>8</v>
      </c>
      <c r="F55" t="s">
        <v>8</v>
      </c>
    </row>
    <row r="56" spans="1:6">
      <c r="A56">
        <v>55</v>
      </c>
      <c r="B56" t="s">
        <v>115</v>
      </c>
      <c r="C56" t="s">
        <v>116</v>
      </c>
      <c r="D56" t="str">
        <f>HYPERLINK("https://www.procyclingstats.com/search.php?term=Dalla+Valle+Andrea","Cerca")</f>
        <v>Cerca</v>
      </c>
      <c r="E56" t="s">
        <v>8</v>
      </c>
      <c r="F56" t="s">
        <v>8</v>
      </c>
    </row>
    <row r="57" spans="1:6">
      <c r="A57">
        <v>56</v>
      </c>
      <c r="B57" t="s">
        <v>117</v>
      </c>
      <c r="C57" t="s">
        <v>118</v>
      </c>
      <c r="D57" t="str">
        <f>HYPERLINK("https://www.procyclingstats.com/search.php?term=Dalle+Carbonare+Loris","Cerca")</f>
        <v>Cerca</v>
      </c>
      <c r="E57" t="s">
        <v>8</v>
      </c>
      <c r="F57" t="s">
        <v>8</v>
      </c>
    </row>
    <row r="58" spans="1:6">
      <c r="A58">
        <v>57</v>
      </c>
      <c r="B58" t="s">
        <v>119</v>
      </c>
      <c r="C58" t="s">
        <v>120</v>
      </c>
      <c r="D58" t="str">
        <f>HYPERLINK("https://www.procyclingstats.com/search.php?term=De+Buysser+Auke","Cerca")</f>
        <v>Cerca</v>
      </c>
      <c r="E58" t="s">
        <v>8</v>
      </c>
      <c r="F58" t="s">
        <v>8</v>
      </c>
    </row>
    <row r="59" spans="1:6">
      <c r="A59">
        <v>58</v>
      </c>
      <c r="B59" t="s">
        <v>121</v>
      </c>
      <c r="C59" t="s">
        <v>122</v>
      </c>
      <c r="D59" t="str">
        <f>HYPERLINK("https://www.procyclingstats.com/search.php?term=De+Fabritiis+Gabriele","Cerca")</f>
        <v>Cerca</v>
      </c>
      <c r="E59" t="s">
        <v>8</v>
      </c>
      <c r="F59" t="s">
        <v>8</v>
      </c>
    </row>
    <row r="60" spans="1:6">
      <c r="A60">
        <v>59</v>
      </c>
      <c r="B60" t="s">
        <v>123</v>
      </c>
      <c r="C60" t="s">
        <v>124</v>
      </c>
      <c r="D60" t="str">
        <f>HYPERLINK("https://www.procyclingstats.com/search.php?term=De+Keersmaeker+Audrey","Cerca")</f>
        <v>Cerca</v>
      </c>
      <c r="E60" t="s">
        <v>8</v>
      </c>
      <c r="F60" t="s">
        <v>8</v>
      </c>
    </row>
    <row r="61" spans="1:6">
      <c r="A61">
        <v>60</v>
      </c>
      <c r="B61" t="s">
        <v>125</v>
      </c>
      <c r="C61" t="s">
        <v>126</v>
      </c>
      <c r="D61" t="str">
        <f>HYPERLINK("https://www.procyclingstats.com/search.php?term=De+Lazzer+Agnese","Cerca")</f>
        <v>Cerca</v>
      </c>
      <c r="E61" t="s">
        <v>8</v>
      </c>
      <c r="F61" t="s">
        <v>8</v>
      </c>
    </row>
    <row r="62" spans="1:6">
      <c r="A62">
        <v>61</v>
      </c>
      <c r="B62" t="s">
        <v>127</v>
      </c>
      <c r="C62" t="s">
        <v>128</v>
      </c>
      <c r="D62" t="str">
        <f>HYPERLINK("https://www.procyclingstats.com/search.php?term=De+Rensis+Stefano","Cerca")</f>
        <v>Cerca</v>
      </c>
      <c r="E62" t="s">
        <v>8</v>
      </c>
      <c r="F62" t="s">
        <v>8</v>
      </c>
    </row>
    <row r="63" spans="1:6">
      <c r="A63">
        <v>62</v>
      </c>
      <c r="B63" t="s">
        <v>129</v>
      </c>
      <c r="C63" t="s">
        <v>130</v>
      </c>
      <c r="D63" t="str">
        <f>HYPERLINK("https://www.procyclingstats.com/search.php?term=De+Vallier+Elisa","Cerca")</f>
        <v>Cerca</v>
      </c>
      <c r="E63" t="s">
        <v>8</v>
      </c>
      <c r="F63" t="s">
        <v>8</v>
      </c>
    </row>
    <row r="64" spans="1:6">
      <c r="A64">
        <v>63</v>
      </c>
      <c r="B64" t="s">
        <v>131</v>
      </c>
      <c r="C64" t="s">
        <v>132</v>
      </c>
      <c r="D64" t="str">
        <f>HYPERLINK("https://www.procyclingstats.com/search.php?term=Devos+Victor","Cerca")</f>
        <v>Cerca</v>
      </c>
      <c r="E64" t="s">
        <v>8</v>
      </c>
      <c r="F64" t="s">
        <v>8</v>
      </c>
    </row>
    <row r="65" spans="1:6">
      <c r="A65">
        <v>64</v>
      </c>
      <c r="B65" t="s">
        <v>133</v>
      </c>
      <c r="C65" t="s">
        <v>134</v>
      </c>
      <c r="D65" t="str">
        <f>HYPERLINK("https://www.procyclingstats.com/search.php?term=Di+Vita+Federico","Cerca")</f>
        <v>Cerca</v>
      </c>
      <c r="E65" t="s">
        <v>8</v>
      </c>
      <c r="F65" t="s">
        <v>8</v>
      </c>
    </row>
    <row r="66" spans="1:6">
      <c r="A66">
        <v>65</v>
      </c>
      <c r="B66" t="s">
        <v>135</v>
      </c>
      <c r="C66" t="s">
        <v>136</v>
      </c>
      <c r="D66" t="str">
        <f>HYPERLINK("https://www.procyclingstats.com/search.php?term=Dones+Mattia","Cerca")</f>
        <v>Cerca</v>
      </c>
      <c r="E66" t="s">
        <v>8</v>
      </c>
      <c r="F66" t="s">
        <v>8</v>
      </c>
    </row>
    <row r="67" spans="1:6">
      <c r="A67">
        <v>66</v>
      </c>
      <c r="B67" t="s">
        <v>137</v>
      </c>
      <c r="C67" t="s">
        <v>138</v>
      </c>
      <c r="D67" t="str">
        <f>HYPERLINK("https://www.procyclingstats.com/search.php?term=Elsäßer+Luan","Cerca")</f>
        <v>Cerca</v>
      </c>
      <c r="E67" t="s">
        <v>8</v>
      </c>
      <c r="F67" t="s">
        <v>8</v>
      </c>
    </row>
    <row r="68" spans="1:6">
      <c r="A68">
        <v>67</v>
      </c>
      <c r="B68" t="s">
        <v>139</v>
      </c>
      <c r="C68" t="s">
        <v>140</v>
      </c>
      <c r="D68" t="str">
        <f>HYPERLINK("https://www.procyclingstats.com/search.php?term=FARAZ+KHATIEB","Cerca")</f>
        <v>Cerca</v>
      </c>
      <c r="E68" t="s">
        <v>8</v>
      </c>
      <c r="F68" t="s">
        <v>8</v>
      </c>
    </row>
    <row r="69" spans="1:6">
      <c r="A69">
        <v>68</v>
      </c>
      <c r="B69" t="s">
        <v>141</v>
      </c>
      <c r="C69" t="s">
        <v>142</v>
      </c>
      <c r="D69" t="str">
        <f>HYPERLINK("https://www.procyclingstats.com/search.php?term=FOLEGANI+MATTIA","Cerca")</f>
        <v>Cerca</v>
      </c>
      <c r="E69" t="s">
        <v>8</v>
      </c>
      <c r="F69" t="s">
        <v>8</v>
      </c>
    </row>
    <row r="70" spans="1:6">
      <c r="A70">
        <v>69</v>
      </c>
      <c r="B70" t="s">
        <v>143</v>
      </c>
      <c r="C70" t="s">
        <v>144</v>
      </c>
      <c r="D70" t="str">
        <f>HYPERLINK("https://www.procyclingstats.com/search.php?term=FRATICELLI+LUCA","Cerca")</f>
        <v>Cerca</v>
      </c>
      <c r="E70" t="s">
        <v>8</v>
      </c>
      <c r="F70" t="s">
        <v>8</v>
      </c>
    </row>
    <row r="71" spans="1:6">
      <c r="A71">
        <v>70</v>
      </c>
      <c r="B71" t="s">
        <v>145</v>
      </c>
      <c r="C71" t="s">
        <v>146</v>
      </c>
      <c r="D71" t="str">
        <f>HYPERLINK("https://www.procyclingstats.com/search.php?term=Felipe+Quotadamo","Cerca")</f>
        <v>Cerca</v>
      </c>
      <c r="E71" t="s">
        <v>8</v>
      </c>
      <c r="F71" t="s">
        <v>8</v>
      </c>
    </row>
    <row r="72" spans="1:6">
      <c r="A72">
        <v>71</v>
      </c>
      <c r="B72" t="s">
        <v>147</v>
      </c>
      <c r="C72" t="s">
        <v>148</v>
      </c>
      <c r="D72" t="str">
        <f>HYPERLINK("https://www.procyclingstats.com/search.php?term=Flückiger+Dennis","Cerca")</f>
        <v>Cerca</v>
      </c>
      <c r="E72" t="s">
        <v>8</v>
      </c>
      <c r="F72" t="s">
        <v>8</v>
      </c>
    </row>
    <row r="73" spans="1:6">
      <c r="A73">
        <v>72</v>
      </c>
      <c r="B73" t="s">
        <v>149</v>
      </c>
      <c r="C73" t="s">
        <v>150</v>
      </c>
      <c r="D73" t="str">
        <f>HYPERLINK("https://www.procyclingstats.com/search.php?term=Francescangeli+Tommaso","Cerca")</f>
        <v>Cerca</v>
      </c>
      <c r="E73" t="s">
        <v>8</v>
      </c>
      <c r="F73" t="s">
        <v>8</v>
      </c>
    </row>
    <row r="74" spans="1:6">
      <c r="A74">
        <v>73</v>
      </c>
      <c r="B74" t="s">
        <v>151</v>
      </c>
      <c r="C74" t="s">
        <v>152</v>
      </c>
      <c r="D74" t="str">
        <f>HYPERLINK("https://www.procyclingstats.com/search.php?term=Frydkjær+Patrick+Boje","Cerca")</f>
        <v>Cerca</v>
      </c>
      <c r="E74" t="s">
        <v>8</v>
      </c>
      <c r="F74" t="s">
        <v>8</v>
      </c>
    </row>
    <row r="75" spans="1:6">
      <c r="A75">
        <v>74</v>
      </c>
      <c r="B75" t="s">
        <v>153</v>
      </c>
      <c r="C75" t="s">
        <v>154</v>
      </c>
      <c r="D75" t="str">
        <f>HYPERLINK("https://www.procyclingstats.com/search.php?term=GALFRE'+JACOPO","Cerca")</f>
        <v>Cerca</v>
      </c>
      <c r="E75" t="s">
        <v>8</v>
      </c>
      <c r="F75" t="s">
        <v>8</v>
      </c>
    </row>
    <row r="76" spans="1:6">
      <c r="A76">
        <v>75</v>
      </c>
      <c r="B76" t="s">
        <v>155</v>
      </c>
      <c r="C76" t="s">
        <v>156</v>
      </c>
      <c r="D76" t="str">
        <f>HYPERLINK("https://www.procyclingstats.com/search.php?term=GARCIA+BARENO+DOMINGUEZ+NABYENKA","Cerca")</f>
        <v>Cerca</v>
      </c>
      <c r="E76" t="s">
        <v>8</v>
      </c>
      <c r="F76" t="s">
        <v>8</v>
      </c>
    </row>
    <row r="77" spans="1:6">
      <c r="A77">
        <v>76</v>
      </c>
      <c r="B77" t="s">
        <v>157</v>
      </c>
      <c r="C77" t="s">
        <v>158</v>
      </c>
      <c r="D77" t="str">
        <f>HYPERLINK("https://www.procyclingstats.com/search.php?term=GENOVESE+RICCARDO","Cerca")</f>
        <v>Cerca</v>
      </c>
      <c r="E77" t="s">
        <v>8</v>
      </c>
      <c r="F77" t="s">
        <v>8</v>
      </c>
    </row>
    <row r="78" spans="1:6">
      <c r="A78">
        <v>77</v>
      </c>
      <c r="B78" t="s">
        <v>159</v>
      </c>
      <c r="C78" t="s">
        <v>160</v>
      </c>
      <c r="D78" t="str">
        <f>HYPERLINK("https://www.procyclingstats.com/search.php?term=GENTILE+ANGELO","Cerca")</f>
        <v>Cerca</v>
      </c>
      <c r="E78" t="s">
        <v>8</v>
      </c>
      <c r="F78" t="s">
        <v>8</v>
      </c>
    </row>
    <row r="79" spans="1:6">
      <c r="A79">
        <v>78</v>
      </c>
      <c r="B79" t="s">
        <v>161</v>
      </c>
      <c r="C79" t="s">
        <v>162</v>
      </c>
      <c r="D79" t="str">
        <f>HYPERLINK("https://www.procyclingstats.com/search.php?term=GERACI+SALVATORE","Cerca")</f>
        <v>Cerca</v>
      </c>
      <c r="E79" t="s">
        <v>8</v>
      </c>
      <c r="F79" t="s">
        <v>8</v>
      </c>
    </row>
    <row r="80" spans="1:6">
      <c r="A80">
        <v>79</v>
      </c>
      <c r="B80" t="s">
        <v>163</v>
      </c>
      <c r="C80" t="s">
        <v>164</v>
      </c>
      <c r="D80" t="str">
        <f>HYPERLINK("https://www.procyclingstats.com/search.php?term=GIOVANNINI+LEONARDO","Cerca")</f>
        <v>Cerca</v>
      </c>
      <c r="E80" t="s">
        <v>8</v>
      </c>
      <c r="F80" t="s">
        <v>8</v>
      </c>
    </row>
    <row r="81" spans="1:6">
      <c r="A81">
        <v>80</v>
      </c>
      <c r="B81" t="s">
        <v>165</v>
      </c>
      <c r="C81" t="s">
        <v>166</v>
      </c>
      <c r="D81" t="str">
        <f>HYPERLINK("https://www.procyclingstats.com/search.php?term=Gaffney+David","Cerca")</f>
        <v>Cerca</v>
      </c>
      <c r="E81" t="s">
        <v>8</v>
      </c>
      <c r="F81" t="s">
        <v>8</v>
      </c>
    </row>
    <row r="82" spans="1:6">
      <c r="A82">
        <v>81</v>
      </c>
      <c r="B82" t="s">
        <v>167</v>
      </c>
      <c r="C82" t="s">
        <v>168</v>
      </c>
      <c r="D82" t="str">
        <f>HYPERLINK("https://www.procyclingstats.com/search.php?term=Garcia+Rodrigo","Cerca")</f>
        <v>Cerca</v>
      </c>
      <c r="E82" t="s">
        <v>8</v>
      </c>
      <c r="F82" t="s">
        <v>8</v>
      </c>
    </row>
    <row r="83" spans="1:6">
      <c r="A83">
        <v>82</v>
      </c>
      <c r="B83" t="s">
        <v>169</v>
      </c>
      <c r="C83" t="s">
        <v>170</v>
      </c>
      <c r="D83" t="str">
        <f>HYPERLINK("https://www.procyclingstats.com/search.php?term=Genghini+Giacomo","Cerca")</f>
        <v>Cerca</v>
      </c>
      <c r="E83" t="s">
        <v>8</v>
      </c>
      <c r="F83" t="s">
        <v>8</v>
      </c>
    </row>
    <row r="84" spans="1:6">
      <c r="A84">
        <v>83</v>
      </c>
      <c r="B84" t="s">
        <v>171</v>
      </c>
      <c r="C84" t="s">
        <v>172</v>
      </c>
      <c r="D84" t="str">
        <f>HYPERLINK("https://www.procyclingstats.com/search.php?term=Gualtieri+Samuel","Cerca")</f>
        <v>Cerca</v>
      </c>
      <c r="E84" t="s">
        <v>8</v>
      </c>
      <c r="F84" t="s">
        <v>8</v>
      </c>
    </row>
    <row r="85" spans="1:6">
      <c r="A85">
        <v>84</v>
      </c>
      <c r="B85" t="s">
        <v>173</v>
      </c>
      <c r="C85" t="s">
        <v>174</v>
      </c>
      <c r="D85" t="str">
        <f>HYPERLINK("https://www.procyclingstats.com/search.php?term=HINOJOSA+CRUZ+ROMINA","Cerca")</f>
        <v>Cerca</v>
      </c>
      <c r="E85" t="s">
        <v>8</v>
      </c>
      <c r="F85" t="s">
        <v>8</v>
      </c>
    </row>
    <row r="86" spans="1:6">
      <c r="A86">
        <v>85</v>
      </c>
      <c r="B86" t="s">
        <v>175</v>
      </c>
      <c r="C86" t="s">
        <v>176</v>
      </c>
      <c r="D86" t="str">
        <f>HYPERLINK("https://www.procyclingstats.com/search.php?term=HIYOSHI+AYAKA","Cerca")</f>
        <v>Cerca</v>
      </c>
      <c r="E86" t="s">
        <v>8</v>
      </c>
      <c r="F86" t="s">
        <v>8</v>
      </c>
    </row>
    <row r="87" spans="1:6">
      <c r="A87">
        <v>86</v>
      </c>
      <c r="B87" t="s">
        <v>177</v>
      </c>
      <c r="C87" t="s">
        <v>178</v>
      </c>
      <c r="D87" t="str">
        <f>HYPERLINK("https://www.procyclingstats.com/search.php?term=IAKOVLEV+MATVEL","Cerca")</f>
        <v>Cerca</v>
      </c>
      <c r="E87" t="s">
        <v>8</v>
      </c>
      <c r="F87" t="s">
        <v>8</v>
      </c>
    </row>
    <row r="88" spans="1:6">
      <c r="A88">
        <v>87</v>
      </c>
      <c r="B88" t="s">
        <v>179</v>
      </c>
      <c r="C88" t="s">
        <v>180</v>
      </c>
      <c r="D88" t="str">
        <f>HYPERLINK("https://www.procyclingstats.com/search.php?term=IETTA+EDOARDO","Cerca")</f>
        <v>Cerca</v>
      </c>
      <c r="E88" t="s">
        <v>8</v>
      </c>
      <c r="F88" t="s">
        <v>8</v>
      </c>
    </row>
    <row r="89" spans="1:6">
      <c r="A89">
        <v>88</v>
      </c>
      <c r="B89" t="s">
        <v>181</v>
      </c>
      <c r="C89" t="s">
        <v>182</v>
      </c>
      <c r="D89" t="str">
        <f>HYPERLINK("https://www.procyclingstats.com/search.php?term=Iakolev+Matvei","Cerca")</f>
        <v>Cerca</v>
      </c>
      <c r="E89" t="s">
        <v>8</v>
      </c>
      <c r="F89" t="s">
        <v>8</v>
      </c>
    </row>
    <row r="90" spans="1:6">
      <c r="A90">
        <v>89</v>
      </c>
      <c r="B90" t="s">
        <v>183</v>
      </c>
      <c r="C90" t="s">
        <v>184</v>
      </c>
      <c r="D90" t="str">
        <f>HYPERLINK("https://www.procyclingstats.com/search.php?term=Jakobsons+Marks","Cerca")</f>
        <v>Cerca</v>
      </c>
      <c r="E90" t="s">
        <v>8</v>
      </c>
      <c r="F90" t="s">
        <v>8</v>
      </c>
    </row>
    <row r="91" spans="1:6">
      <c r="A91">
        <v>90</v>
      </c>
      <c r="B91" t="s">
        <v>185</v>
      </c>
      <c r="C91" t="s">
        <v>186</v>
      </c>
      <c r="D91" t="str">
        <f>HYPERLINK("https://www.procyclingstats.com/search.php?term=Johnson+Joshua","Cerca")</f>
        <v>Cerca</v>
      </c>
      <c r="E91" t="s">
        <v>8</v>
      </c>
      <c r="F91" t="s">
        <v>8</v>
      </c>
    </row>
    <row r="92" spans="1:6">
      <c r="A92">
        <v>91</v>
      </c>
      <c r="B92" t="s">
        <v>187</v>
      </c>
      <c r="C92" t="s">
        <v>188</v>
      </c>
      <c r="D92" t="str">
        <f>HYPERLINK("https://www.procyclingstats.com/search.php?term=Jørgensen+Tiril","Cerca")</f>
        <v>Cerca</v>
      </c>
      <c r="E92" t="s">
        <v>8</v>
      </c>
      <c r="F92" t="s">
        <v>8</v>
      </c>
    </row>
    <row r="93" spans="1:6">
      <c r="A93">
        <v>92</v>
      </c>
      <c r="B93" t="s">
        <v>189</v>
      </c>
      <c r="C93" t="s">
        <v>190</v>
      </c>
      <c r="D93" t="str">
        <f>HYPERLINK("https://www.procyclingstats.com/search.php?term=KLAU+JACKSON","Cerca")</f>
        <v>Cerca</v>
      </c>
      <c r="E93" t="s">
        <v>8</v>
      </c>
      <c r="F93" t="s">
        <v>8</v>
      </c>
    </row>
    <row r="94" spans="1:6">
      <c r="A94">
        <v>93</v>
      </c>
      <c r="B94" t="s">
        <v>191</v>
      </c>
      <c r="C94" t="s">
        <v>192</v>
      </c>
      <c r="D94" t="str">
        <f>HYPERLINK("https://www.procyclingstats.com/search.php?term=KONONENKO+VALERIIA","Cerca")</f>
        <v>Cerca</v>
      </c>
      <c r="E94" t="s">
        <v>8</v>
      </c>
      <c r="F94" t="s">
        <v>8</v>
      </c>
    </row>
    <row r="95" spans="1:6">
      <c r="A95">
        <v>94</v>
      </c>
      <c r="B95" t="s">
        <v>193</v>
      </c>
      <c r="C95" t="s">
        <v>194</v>
      </c>
      <c r="D95" t="str">
        <f>HYPERLINK("https://www.procyclingstats.com/search.php?term=KOSTINA+OLGA","Cerca")</f>
        <v>Cerca</v>
      </c>
      <c r="E95" t="s">
        <v>8</v>
      </c>
      <c r="F95" t="s">
        <v>8</v>
      </c>
    </row>
    <row r="96" spans="1:6">
      <c r="A96">
        <v>95</v>
      </c>
      <c r="B96" t="s">
        <v>195</v>
      </c>
      <c r="C96" t="s">
        <v>196</v>
      </c>
      <c r="D96" t="str">
        <f>HYPERLINK("https://www.procyclingstats.com/search.php?term=KUNTARIC+ZIBERT+VANJA","Cerca")</f>
        <v>Cerca</v>
      </c>
      <c r="E96" t="s">
        <v>8</v>
      </c>
      <c r="F96" t="s">
        <v>8</v>
      </c>
    </row>
    <row r="97" spans="1:6">
      <c r="A97">
        <v>96</v>
      </c>
      <c r="B97" t="s">
        <v>197</v>
      </c>
      <c r="C97" t="s">
        <v>198</v>
      </c>
      <c r="D97" t="str">
        <f>HYPERLINK("https://www.procyclingstats.com/search.php?term=Kancers+Helvijs","Cerca")</f>
        <v>Cerca</v>
      </c>
      <c r="E97" t="s">
        <v>8</v>
      </c>
      <c r="F97" t="s">
        <v>8</v>
      </c>
    </row>
    <row r="98" spans="1:6">
      <c r="A98">
        <v>97</v>
      </c>
      <c r="B98" t="s">
        <v>199</v>
      </c>
      <c r="C98" t="s">
        <v>200</v>
      </c>
      <c r="D98" t="str">
        <f>HYPERLINK("https://www.procyclingstats.com/search.php?term=Kołkowicz+Karolina","Cerca")</f>
        <v>Cerca</v>
      </c>
      <c r="E98" t="s">
        <v>8</v>
      </c>
      <c r="F98" t="s">
        <v>8</v>
      </c>
    </row>
    <row r="99" spans="1:6">
      <c r="A99">
        <v>98</v>
      </c>
      <c r="B99" t="s">
        <v>201</v>
      </c>
      <c r="C99" t="s">
        <v>202</v>
      </c>
      <c r="D99" t="str">
        <f>HYPERLINK("https://www.procyclingstats.com/search.php?term=LA+BELLA+ELEONORA","Cerca")</f>
        <v>Cerca</v>
      </c>
      <c r="E99" t="s">
        <v>8</v>
      </c>
      <c r="F99" t="s">
        <v>8</v>
      </c>
    </row>
    <row r="100" spans="1:6">
      <c r="A100">
        <v>99</v>
      </c>
      <c r="B100" t="s">
        <v>203</v>
      </c>
      <c r="C100" t="s">
        <v>204</v>
      </c>
      <c r="D100" t="str">
        <f>HYPERLINK("https://www.procyclingstats.com/search.php?term=LINGENHAG+LAURIN","Cerca")</f>
        <v>Cerca</v>
      </c>
      <c r="E100" t="s">
        <v>8</v>
      </c>
      <c r="F100" t="s">
        <v>8</v>
      </c>
    </row>
    <row r="101" spans="1:6">
      <c r="A101">
        <v>100</v>
      </c>
      <c r="B101" t="s">
        <v>205</v>
      </c>
      <c r="C101" t="s">
        <v>206</v>
      </c>
      <c r="D101" t="str">
        <f>HYPERLINK("https://www.procyclingstats.com/search.php?term=LOVER+MEDEOT+TOMAZ","Cerca")</f>
        <v>Cerca</v>
      </c>
      <c r="E101" t="s">
        <v>8</v>
      </c>
      <c r="F101" t="s">
        <v>8</v>
      </c>
    </row>
    <row r="102" spans="1:6">
      <c r="A102">
        <v>101</v>
      </c>
      <c r="B102" t="s">
        <v>207</v>
      </c>
      <c r="C102" t="s">
        <v>208</v>
      </c>
      <c r="D102" t="str">
        <f>HYPERLINK("https://www.procyclingstats.com/search.php?term=LUDWIG+UTTRUP+CECILIE","Cerca")</f>
        <v>Cerca</v>
      </c>
      <c r="E102" t="s">
        <v>8</v>
      </c>
      <c r="F102" t="s">
        <v>8</v>
      </c>
    </row>
    <row r="103" spans="1:6">
      <c r="A103">
        <v>102</v>
      </c>
      <c r="B103" t="s">
        <v>209</v>
      </c>
      <c r="C103" t="s">
        <v>210</v>
      </c>
      <c r="D103" t="str">
        <f>HYPERLINK("https://www.procyclingstats.com/search.php?term=La+Face+Giuseppe","Cerca")</f>
        <v>Cerca</v>
      </c>
      <c r="E103" t="s">
        <v>8</v>
      </c>
      <c r="F103" t="s">
        <v>8</v>
      </c>
    </row>
    <row r="104" spans="1:6">
      <c r="A104">
        <v>103</v>
      </c>
      <c r="B104" t="s">
        <v>211</v>
      </c>
      <c r="C104" t="s">
        <v>212</v>
      </c>
      <c r="D104" t="str">
        <f>HYPERLINK("https://www.procyclingstats.com/search.php?term=Lapi+Luca","Cerca")</f>
        <v>Cerca</v>
      </c>
      <c r="E104" t="s">
        <v>8</v>
      </c>
      <c r="F104" t="s">
        <v>8</v>
      </c>
    </row>
    <row r="105" spans="1:6">
      <c r="A105">
        <v>104</v>
      </c>
      <c r="B105" t="s">
        <v>213</v>
      </c>
      <c r="C105" t="s">
        <v>214</v>
      </c>
      <c r="D105" t="str">
        <f>HYPERLINK("https://www.procyclingstats.com/search.php?term=Lauria+Andrea","Cerca")</f>
        <v>Cerca</v>
      </c>
      <c r="E105" t="s">
        <v>8</v>
      </c>
      <c r="F105" t="s">
        <v>8</v>
      </c>
    </row>
    <row r="106" spans="1:6">
      <c r="A106">
        <v>105</v>
      </c>
      <c r="B106" t="s">
        <v>215</v>
      </c>
      <c r="C106" t="s">
        <v>216</v>
      </c>
      <c r="D106" t="str">
        <f>HYPERLINK("https://www.procyclingstats.com/search.php?term=Le+Court-Pienaar+Kim","Cerca")</f>
        <v>Cerca</v>
      </c>
      <c r="E106" t="s">
        <v>8</v>
      </c>
      <c r="F106" t="s">
        <v>8</v>
      </c>
    </row>
    <row r="107" spans="1:6">
      <c r="A107">
        <v>106</v>
      </c>
      <c r="B107" t="s">
        <v>217</v>
      </c>
      <c r="C107" t="s">
        <v>218</v>
      </c>
      <c r="D107" t="str">
        <f>HYPERLINK("https://www.procyclingstats.com/search.php?term=Lega+Niccolo'","Cerca")</f>
        <v>Cerca</v>
      </c>
      <c r="E107" t="s">
        <v>8</v>
      </c>
      <c r="F107" t="s">
        <v>8</v>
      </c>
    </row>
    <row r="108" spans="1:6">
      <c r="A108">
        <v>107</v>
      </c>
      <c r="B108" t="s">
        <v>219</v>
      </c>
      <c r="C108" t="s">
        <v>220</v>
      </c>
      <c r="D108" t="str">
        <f>HYPERLINK("https://www.procyclingstats.com/search.php?term=Limardo+Damiano","Cerca")</f>
        <v>Cerca</v>
      </c>
      <c r="E108" t="s">
        <v>8</v>
      </c>
      <c r="F108" t="s">
        <v>8</v>
      </c>
    </row>
    <row r="109" spans="1:6">
      <c r="A109">
        <v>108</v>
      </c>
      <c r="B109" t="s">
        <v>221</v>
      </c>
      <c r="C109" t="s">
        <v>222</v>
      </c>
      <c r="D109" t="str">
        <f>HYPERLINK("https://www.procyclingstats.com/search.php?term=Limonta+Daniele","Cerca")</f>
        <v>Cerca</v>
      </c>
      <c r="E109" t="s">
        <v>8</v>
      </c>
      <c r="F109" t="s">
        <v>8</v>
      </c>
    </row>
    <row r="110" spans="1:6">
      <c r="A110">
        <v>109</v>
      </c>
      <c r="B110" t="s">
        <v>223</v>
      </c>
      <c r="C110" t="s">
        <v>224</v>
      </c>
      <c r="D110" t="str">
        <f>HYPERLINK("https://www.procyclingstats.com/search.php?term=Lo+Piccolo+Domenico","Cerca")</f>
        <v>Cerca</v>
      </c>
      <c r="E110" t="s">
        <v>8</v>
      </c>
      <c r="F110" t="s">
        <v>8</v>
      </c>
    </row>
    <row r="111" spans="1:6">
      <c r="A111">
        <v>110</v>
      </c>
      <c r="B111" t="s">
        <v>225</v>
      </c>
      <c r="C111" t="s">
        <v>226</v>
      </c>
      <c r="D111" t="str">
        <f>HYPERLINK("https://www.procyclingstats.com/search.php?term=Londoño+Juliana","Cerca")</f>
        <v>Cerca</v>
      </c>
      <c r="E111" t="s">
        <v>8</v>
      </c>
      <c r="F111" t="s">
        <v>8</v>
      </c>
    </row>
    <row r="112" spans="1:6">
      <c r="A112">
        <v>111</v>
      </c>
      <c r="B112" t="s">
        <v>227</v>
      </c>
      <c r="C112" t="s">
        <v>228</v>
      </c>
      <c r="D112" t="str">
        <f>HYPERLINK("https://www.procyclingstats.com/search.php?term=Lotti+Zeno","Cerca")</f>
        <v>Cerca</v>
      </c>
      <c r="E112" t="s">
        <v>8</v>
      </c>
      <c r="F112" t="s">
        <v>8</v>
      </c>
    </row>
    <row r="113" spans="1:6">
      <c r="A113">
        <v>112</v>
      </c>
      <c r="B113" t="s">
        <v>229</v>
      </c>
      <c r="C113" t="s">
        <v>230</v>
      </c>
      <c r="D113" t="str">
        <f>HYPERLINK("https://www.procyclingstats.com/search.php?term=Luzzi+Gabriele","Cerca")</f>
        <v>Cerca</v>
      </c>
      <c r="E113" t="s">
        <v>8</v>
      </c>
      <c r="F113" t="s">
        <v>8</v>
      </c>
    </row>
    <row r="114" spans="1:6">
      <c r="A114">
        <v>113</v>
      </c>
      <c r="B114" t="s">
        <v>231</v>
      </c>
      <c r="C114" t="s">
        <v>232</v>
      </c>
      <c r="D114" t="str">
        <f>HYPERLINK("https://www.procyclingstats.com/search.php?term=MANCA+SAMUELE","Cerca")</f>
        <v>Cerca</v>
      </c>
      <c r="E114" t="s">
        <v>8</v>
      </c>
      <c r="F114" t="s">
        <v>8</v>
      </c>
    </row>
    <row r="115" spans="1:6">
      <c r="A115">
        <v>114</v>
      </c>
      <c r="B115" t="s">
        <v>233</v>
      </c>
      <c r="C115" t="s">
        <v>234</v>
      </c>
      <c r="D115" t="str">
        <f>HYPERLINK("https://www.procyclingstats.com/search.php?term=MANNU+FRANCESCO","Cerca")</f>
        <v>Cerca</v>
      </c>
      <c r="E115" t="s">
        <v>8</v>
      </c>
      <c r="F115" t="s">
        <v>8</v>
      </c>
    </row>
    <row r="116" spans="1:6">
      <c r="A116">
        <v>115</v>
      </c>
      <c r="B116" t="s">
        <v>235</v>
      </c>
      <c r="C116" t="s">
        <v>236</v>
      </c>
      <c r="D116" t="str">
        <f>HYPERLINK("https://www.procyclingstats.com/search.php?term=MANTOVANI+GIULIO","Cerca")</f>
        <v>Cerca</v>
      </c>
      <c r="E116" t="s">
        <v>8</v>
      </c>
      <c r="F116" t="s">
        <v>8</v>
      </c>
    </row>
    <row r="117" spans="1:6">
      <c r="A117">
        <v>116</v>
      </c>
      <c r="B117" t="s">
        <v>237</v>
      </c>
      <c r="C117" t="s">
        <v>238</v>
      </c>
      <c r="D117" t="str">
        <f>HYPERLINK("https://www.procyclingstats.com/search.php?term=MARCHIONE+GIACOMO","Cerca")</f>
        <v>Cerca</v>
      </c>
      <c r="E117" t="s">
        <v>8</v>
      </c>
      <c r="F117" t="s">
        <v>8</v>
      </c>
    </row>
    <row r="118" spans="1:6">
      <c r="A118">
        <v>117</v>
      </c>
      <c r="B118" t="s">
        <v>239</v>
      </c>
      <c r="C118" t="s">
        <v>240</v>
      </c>
      <c r="D118" t="str">
        <f>HYPERLINK("https://www.procyclingstats.com/search.php?term=MARETTA+GABRIELE","Cerca")</f>
        <v>Cerca</v>
      </c>
      <c r="E118" t="s">
        <v>8</v>
      </c>
      <c r="F118" t="s">
        <v>8</v>
      </c>
    </row>
    <row r="119" spans="1:6">
      <c r="A119">
        <v>118</v>
      </c>
      <c r="B119" t="s">
        <v>241</v>
      </c>
      <c r="C119" t="s">
        <v>242</v>
      </c>
      <c r="D119" t="str">
        <f>HYPERLINK("https://www.procyclingstats.com/search.php?term=MATYASIK+MAKSYMILIAN","Cerca")</f>
        <v>Cerca</v>
      </c>
      <c r="E119" t="s">
        <v>8</v>
      </c>
      <c r="F119" t="s">
        <v>8</v>
      </c>
    </row>
    <row r="120" spans="1:6">
      <c r="A120">
        <v>119</v>
      </c>
      <c r="B120" t="s">
        <v>243</v>
      </c>
      <c r="C120" t="s">
        <v>244</v>
      </c>
      <c r="D120" t="str">
        <f>HYPERLINK("https://www.procyclingstats.com/search.php?term=MAZZOLENI+LUCA","Cerca")</f>
        <v>Cerca</v>
      </c>
      <c r="E120" t="s">
        <v>8</v>
      </c>
      <c r="F120" t="s">
        <v>8</v>
      </c>
    </row>
    <row r="121" spans="1:6">
      <c r="A121">
        <v>120</v>
      </c>
      <c r="B121" t="s">
        <v>245</v>
      </c>
      <c r="C121" t="s">
        <v>246</v>
      </c>
      <c r="D121" t="str">
        <f>HYPERLINK("https://www.procyclingstats.com/search.php?term=MILAKI+ARGYRO","Cerca")</f>
        <v>Cerca</v>
      </c>
      <c r="E121" t="s">
        <v>8</v>
      </c>
      <c r="F121" t="s">
        <v>8</v>
      </c>
    </row>
    <row r="122" spans="1:6">
      <c r="A122">
        <v>121</v>
      </c>
      <c r="B122" t="s">
        <v>247</v>
      </c>
      <c r="C122" t="s">
        <v>248</v>
      </c>
      <c r="D122" t="str">
        <f>HYPERLINK("https://www.procyclingstats.com/search.php?term=MILANI+LORENZO","Cerca")</f>
        <v>Cerca</v>
      </c>
      <c r="E122" t="s">
        <v>8</v>
      </c>
      <c r="F122" t="s">
        <v>8</v>
      </c>
    </row>
    <row r="123" spans="1:6">
      <c r="A123">
        <v>122</v>
      </c>
      <c r="B123" t="s">
        <v>249</v>
      </c>
      <c r="C123" t="s">
        <v>250</v>
      </c>
      <c r="D123" t="str">
        <f>HYPERLINK("https://www.procyclingstats.com/search.php?term=MISHANKOV+MAKSIM","Cerca")</f>
        <v>Cerca</v>
      </c>
      <c r="E123" t="s">
        <v>8</v>
      </c>
      <c r="F123" t="s">
        <v>8</v>
      </c>
    </row>
    <row r="124" spans="1:6">
      <c r="A124">
        <v>123</v>
      </c>
      <c r="B124" t="s">
        <v>251</v>
      </c>
      <c r="C124" t="s">
        <v>252</v>
      </c>
      <c r="D124" t="str">
        <f>HYPERLINK("https://www.procyclingstats.com/search.php?term=MOCCI+EDOARDO","Cerca")</f>
        <v>Cerca</v>
      </c>
      <c r="E124" t="s">
        <v>8</v>
      </c>
      <c r="F124" t="s">
        <v>8</v>
      </c>
    </row>
    <row r="125" spans="1:6">
      <c r="A125">
        <v>124</v>
      </c>
      <c r="B125" t="s">
        <v>253</v>
      </c>
      <c r="C125" t="s">
        <v>254</v>
      </c>
      <c r="D125" t="str">
        <f>HYPERLINK("https://www.procyclingstats.com/search.php?term=MOLLO+GIANMARIA","Cerca")</f>
        <v>Cerca</v>
      </c>
      <c r="E125" t="s">
        <v>8</v>
      </c>
      <c r="F125" t="s">
        <v>8</v>
      </c>
    </row>
    <row r="126" spans="1:6">
      <c r="A126">
        <v>125</v>
      </c>
      <c r="B126" t="s">
        <v>255</v>
      </c>
      <c r="C126" t="s">
        <v>256</v>
      </c>
      <c r="D126" t="str">
        <f>HYPERLINK("https://www.procyclingstats.com/search.php?term=MORENO+GARCIA+DANIEL+SANTIAGO","Cerca")</f>
        <v>Cerca</v>
      </c>
      <c r="E126" t="s">
        <v>8</v>
      </c>
      <c r="F126" t="s">
        <v>8</v>
      </c>
    </row>
    <row r="127" spans="1:6">
      <c r="A127">
        <v>126</v>
      </c>
      <c r="B127" t="s">
        <v>257</v>
      </c>
      <c r="C127" t="s">
        <v>258</v>
      </c>
      <c r="D127" t="str">
        <f>HYPERLINK("https://www.procyclingstats.com/search.php?term=MURA+ANDREA","Cerca")</f>
        <v>Cerca</v>
      </c>
      <c r="E127" t="s">
        <v>8</v>
      </c>
      <c r="F127" t="s">
        <v>8</v>
      </c>
    </row>
    <row r="128" spans="1:6">
      <c r="A128">
        <v>127</v>
      </c>
      <c r="B128" t="s">
        <v>259</v>
      </c>
      <c r="C128" t="s">
        <v>260</v>
      </c>
      <c r="D128" t="str">
        <f>HYPERLINK("https://www.procyclingstats.com/search.php?term=Magni+Daniele","Cerca")</f>
        <v>Cerca</v>
      </c>
      <c r="E128" t="s">
        <v>8</v>
      </c>
      <c r="F128" t="s">
        <v>8</v>
      </c>
    </row>
    <row r="129" spans="1:6">
      <c r="A129">
        <v>128</v>
      </c>
      <c r="B129" t="s">
        <v>261</v>
      </c>
      <c r="C129" t="s">
        <v>262</v>
      </c>
      <c r="D129" t="str">
        <f>HYPERLINK("https://www.procyclingstats.com/search.php?term=Maranchón+Enrique","Cerca")</f>
        <v>Cerca</v>
      </c>
      <c r="E129" t="s">
        <v>8</v>
      </c>
      <c r="F129" t="s">
        <v>8</v>
      </c>
    </row>
    <row r="130" spans="1:6">
      <c r="A130">
        <v>129</v>
      </c>
      <c r="B130" t="s">
        <v>263</v>
      </c>
      <c r="C130" t="s">
        <v>264</v>
      </c>
      <c r="D130" t="str">
        <f>HYPERLINK("https://www.procyclingstats.com/search.php?term=Marchina+Leonardo","Cerca")</f>
        <v>Cerca</v>
      </c>
      <c r="E130" t="s">
        <v>8</v>
      </c>
      <c r="F130" t="s">
        <v>8</v>
      </c>
    </row>
    <row r="131" spans="1:6">
      <c r="A131">
        <v>130</v>
      </c>
      <c r="B131" t="s">
        <v>265</v>
      </c>
      <c r="C131" t="s">
        <v>266</v>
      </c>
      <c r="D131" t="str">
        <f>HYPERLINK("https://www.procyclingstats.com/search.php?term=Martini+Nicola","Cerca")</f>
        <v>Cerca</v>
      </c>
      <c r="E131" t="s">
        <v>8</v>
      </c>
      <c r="F131" t="s">
        <v>8</v>
      </c>
    </row>
    <row r="132" spans="1:6">
      <c r="A132">
        <v>131</v>
      </c>
      <c r="B132" t="s">
        <v>267</v>
      </c>
      <c r="C132" t="s">
        <v>268</v>
      </c>
      <c r="D132" t="str">
        <f>HYPERLINK("https://www.procyclingstats.com/search.php?term=Martín+Sara","Cerca")</f>
        <v>Cerca</v>
      </c>
      <c r="E132" t="s">
        <v>8</v>
      </c>
      <c r="F132" t="s">
        <v>8</v>
      </c>
    </row>
    <row r="133" spans="1:6">
      <c r="A133">
        <v>132</v>
      </c>
      <c r="B133" t="s">
        <v>269</v>
      </c>
      <c r="C133" t="s">
        <v>270</v>
      </c>
      <c r="D133" t="str">
        <f>HYPERLINK("https://www.procyclingstats.com/search.php?term=Martínez+Aitor","Cerca")</f>
        <v>Cerca</v>
      </c>
      <c r="E133" t="s">
        <v>8</v>
      </c>
      <c r="F133" t="s">
        <v>8</v>
      </c>
    </row>
    <row r="134" spans="1:6">
      <c r="A134">
        <v>133</v>
      </c>
      <c r="B134" t="s">
        <v>271</v>
      </c>
      <c r="C134" t="s">
        <v>272</v>
      </c>
      <c r="D134" t="str">
        <f>HYPERLINK("https://www.procyclingstats.com/search.php?term=Micali+Matteo","Cerca")</f>
        <v>Cerca</v>
      </c>
      <c r="E134" t="s">
        <v>8</v>
      </c>
      <c r="F134" t="s">
        <v>8</v>
      </c>
    </row>
    <row r="135" spans="1:6">
      <c r="A135">
        <v>134</v>
      </c>
      <c r="B135" t="s">
        <v>273</v>
      </c>
      <c r="C135" t="s">
        <v>274</v>
      </c>
      <c r="D135" t="str">
        <f>HYPERLINK("https://www.procyclingstats.com/search.php?term=Moolman-Pasio+Ashleigh","Cerca")</f>
        <v>Cerca</v>
      </c>
      <c r="E135" t="s">
        <v>8</v>
      </c>
      <c r="F135" t="s">
        <v>8</v>
      </c>
    </row>
    <row r="136" spans="1:6">
      <c r="A136">
        <v>135</v>
      </c>
      <c r="B136" t="s">
        <v>275</v>
      </c>
      <c r="C136" t="s">
        <v>276</v>
      </c>
      <c r="D136" t="str">
        <f>HYPERLINK("https://www.procyclingstats.com/search.php?term=Moretti+Samuel","Cerca")</f>
        <v>Cerca</v>
      </c>
      <c r="E136" t="s">
        <v>8</v>
      </c>
      <c r="F136" t="s">
        <v>8</v>
      </c>
    </row>
    <row r="137" spans="1:6">
      <c r="A137">
        <v>136</v>
      </c>
      <c r="B137" t="s">
        <v>277</v>
      </c>
      <c r="C137" t="s">
        <v>278</v>
      </c>
      <c r="D137" t="str">
        <f>HYPERLINK("https://www.procyclingstats.com/search.php?term=Muricci+Leonardo","Cerca")</f>
        <v>Cerca</v>
      </c>
      <c r="E137" t="s">
        <v>8</v>
      </c>
      <c r="F137" t="s">
        <v>8</v>
      </c>
    </row>
    <row r="138" spans="1:6">
      <c r="A138">
        <v>137</v>
      </c>
      <c r="B138" t="s">
        <v>279</v>
      </c>
      <c r="C138" t="s">
        <v>280</v>
      </c>
      <c r="D138" t="str">
        <f>HYPERLINK("https://www.procyclingstats.com/search.php?term=NOVAL+SUAREZ+BENJAMIN","Cerca")</f>
        <v>Cerca</v>
      </c>
      <c r="E138" t="s">
        <v>8</v>
      </c>
      <c r="F138" t="s">
        <v>8</v>
      </c>
    </row>
    <row r="139" spans="1:6">
      <c r="A139">
        <v>138</v>
      </c>
      <c r="B139" t="s">
        <v>281</v>
      </c>
      <c r="C139" t="s">
        <v>282</v>
      </c>
      <c r="D139" t="str">
        <f>HYPERLINK("https://www.procyclingstats.com/search.php?term=Noyola+Marcela","Cerca")</f>
        <v>Cerca</v>
      </c>
      <c r="E139" t="s">
        <v>8</v>
      </c>
      <c r="F139" t="s">
        <v>8</v>
      </c>
    </row>
    <row r="140" spans="1:6">
      <c r="A140">
        <v>139</v>
      </c>
      <c r="B140" t="s">
        <v>283</v>
      </c>
      <c r="C140" t="s">
        <v>284</v>
      </c>
      <c r="D140" t="str">
        <f>HYPERLINK("https://www.procyclingstats.com/search.php?term=ORHOLM-LONSETH+SIND","Cerca")</f>
        <v>Cerca</v>
      </c>
      <c r="E140" t="s">
        <v>8</v>
      </c>
      <c r="F140" t="s">
        <v>8</v>
      </c>
    </row>
    <row r="141" spans="1:6">
      <c r="A141">
        <v>140</v>
      </c>
      <c r="B141" t="s">
        <v>285</v>
      </c>
      <c r="C141" t="s">
        <v>286</v>
      </c>
      <c r="D141" t="str">
        <f>HYPERLINK("https://www.procyclingstats.com/search.php?term=Odriozola+Naxara","Cerca")</f>
        <v>Cerca</v>
      </c>
      <c r="E141" t="s">
        <v>8</v>
      </c>
      <c r="F141" t="s">
        <v>8</v>
      </c>
    </row>
    <row r="142" spans="1:6">
      <c r="A142">
        <v>141</v>
      </c>
      <c r="B142" t="s">
        <v>287</v>
      </c>
      <c r="C142" t="s">
        <v>288</v>
      </c>
      <c r="D142" t="str">
        <f>HYPERLINK("https://www.procyclingstats.com/search.php?term=Orholm-Lønseth+Sindre","Cerca")</f>
        <v>Cerca</v>
      </c>
      <c r="E142" t="s">
        <v>8</v>
      </c>
      <c r="F142" t="s">
        <v>8</v>
      </c>
    </row>
    <row r="143" spans="1:6">
      <c r="A143">
        <v>142</v>
      </c>
      <c r="B143" t="s">
        <v>289</v>
      </c>
      <c r="C143" t="s">
        <v>290</v>
      </c>
      <c r="D143" t="str">
        <f>HYPERLINK("https://www.procyclingstats.com/search.php?term=Orlandi+Giacomo","Cerca")</f>
        <v>Cerca</v>
      </c>
      <c r="E143" t="s">
        <v>8</v>
      </c>
      <c r="F143" t="s">
        <v>8</v>
      </c>
    </row>
    <row r="144" spans="1:6">
      <c r="A144">
        <v>143</v>
      </c>
      <c r="B144" t="s">
        <v>291</v>
      </c>
      <c r="C144" t="s">
        <v>292</v>
      </c>
      <c r="D144" t="str">
        <f>HYPERLINK("https://www.procyclingstats.com/search.php?term=Orsi+Riccardo","Cerca")</f>
        <v>Cerca</v>
      </c>
      <c r="E144" t="s">
        <v>8</v>
      </c>
      <c r="F144" t="s">
        <v>8</v>
      </c>
    </row>
    <row r="145" spans="1:6">
      <c r="A145">
        <v>144</v>
      </c>
      <c r="B145" t="s">
        <v>293</v>
      </c>
      <c r="C145" t="s">
        <v>294</v>
      </c>
      <c r="D145" t="str">
        <f>HYPERLINK("https://www.procyclingstats.com/search.php?term=PAVI+DEGL'INNOCENTI+GIULIO","Cerca")</f>
        <v>Cerca</v>
      </c>
      <c r="E145" t="s">
        <v>8</v>
      </c>
      <c r="F145" t="s">
        <v>8</v>
      </c>
    </row>
    <row r="146" spans="1:6">
      <c r="A146">
        <v>145</v>
      </c>
      <c r="B146" t="s">
        <v>295</v>
      </c>
      <c r="C146" t="s">
        <v>296</v>
      </c>
      <c r="D146" t="str">
        <f>HYPERLINK("https://www.procyclingstats.com/search.php?term=PENALVER+ANIORTE+MANUEL","Cerca")</f>
        <v>Cerca</v>
      </c>
      <c r="E146" t="s">
        <v>8</v>
      </c>
      <c r="F146" t="s">
        <v>8</v>
      </c>
    </row>
    <row r="147" spans="1:6">
      <c r="A147">
        <v>146</v>
      </c>
      <c r="B147" t="s">
        <v>297</v>
      </c>
      <c r="C147" t="s">
        <v>298</v>
      </c>
      <c r="D147" t="str">
        <f>HYPERLINK("https://www.procyclingstats.com/search.php?term=PENEDA+SOTO+NATALIA","Cerca")</f>
        <v>Cerca</v>
      </c>
      <c r="E147" t="s">
        <v>8</v>
      </c>
      <c r="F147" t="s">
        <v>8</v>
      </c>
    </row>
    <row r="148" spans="1:6">
      <c r="A148">
        <v>147</v>
      </c>
      <c r="B148" t="s">
        <v>299</v>
      </c>
      <c r="C148" t="s">
        <v>300</v>
      </c>
      <c r="D148" t="str">
        <f>HYPERLINK("https://www.procyclingstats.com/search.php?term=PINEDA+SOTO+NATALIA","Cerca")</f>
        <v>Cerca</v>
      </c>
      <c r="E148" t="s">
        <v>8</v>
      </c>
      <c r="F148" t="s">
        <v>8</v>
      </c>
    </row>
    <row r="149" spans="1:6">
      <c r="A149">
        <v>148</v>
      </c>
      <c r="B149" t="s">
        <v>301</v>
      </c>
      <c r="C149" t="s">
        <v>302</v>
      </c>
      <c r="D149" t="str">
        <f>HYPERLINK("https://www.procyclingstats.com/search.php?term=PINNA+ROBERTO","Cerca")</f>
        <v>Cerca</v>
      </c>
      <c r="E149" t="s">
        <v>8</v>
      </c>
      <c r="F149" t="s">
        <v>8</v>
      </c>
    </row>
    <row r="150" spans="1:6">
      <c r="A150">
        <v>149</v>
      </c>
      <c r="B150" t="s">
        <v>303</v>
      </c>
      <c r="C150" t="s">
        <v>304</v>
      </c>
      <c r="D150" t="str">
        <f>HYPERLINK("https://www.procyclingstats.com/search.php?term=PITTA+JACOPO","Cerca")</f>
        <v>Cerca</v>
      </c>
      <c r="E150" t="s">
        <v>8</v>
      </c>
      <c r="F150" t="s">
        <v>8</v>
      </c>
    </row>
    <row r="151" spans="1:6">
      <c r="A151">
        <v>150</v>
      </c>
      <c r="B151" t="s">
        <v>305</v>
      </c>
      <c r="C151" t="s">
        <v>306</v>
      </c>
      <c r="D151" t="str">
        <f>HYPERLINK("https://www.procyclingstats.com/search.php?term=POLIUSHKO+OLEKSANDER","Cerca")</f>
        <v>Cerca</v>
      </c>
      <c r="E151" t="s">
        <v>8</v>
      </c>
      <c r="F151" t="s">
        <v>8</v>
      </c>
    </row>
    <row r="152" spans="1:6">
      <c r="A152">
        <v>151</v>
      </c>
      <c r="B152" t="s">
        <v>307</v>
      </c>
      <c r="C152" t="s">
        <v>308</v>
      </c>
      <c r="D152" t="str">
        <f>HYPERLINK("https://www.procyclingstats.com/search.php?term=PROSANDEEV+IAROSLAV","Cerca")</f>
        <v>Cerca</v>
      </c>
      <c r="E152" t="s">
        <v>8</v>
      </c>
      <c r="F152" t="s">
        <v>8</v>
      </c>
    </row>
    <row r="153" spans="1:6">
      <c r="A153">
        <v>152</v>
      </c>
      <c r="B153" t="s">
        <v>309</v>
      </c>
      <c r="C153" t="s">
        <v>310</v>
      </c>
      <c r="D153" t="str">
        <f>HYPERLINK("https://www.procyclingstats.com/search.php?term=Paredes+Manuel+Sebastian","Cerca")</f>
        <v>Cerca</v>
      </c>
      <c r="E153" t="s">
        <v>8</v>
      </c>
      <c r="F153" t="s">
        <v>8</v>
      </c>
    </row>
    <row r="154" spans="1:6">
      <c r="A154">
        <v>153</v>
      </c>
      <c r="B154" t="s">
        <v>311</v>
      </c>
      <c r="C154" t="s">
        <v>312</v>
      </c>
      <c r="D154" t="str">
        <f>HYPERLINK("https://www.procyclingstats.com/search.php?term=Piccin+Alessandro","Cerca")</f>
        <v>Cerca</v>
      </c>
      <c r="E154" t="s">
        <v>8</v>
      </c>
      <c r="F154" t="s">
        <v>8</v>
      </c>
    </row>
    <row r="155" spans="1:6">
      <c r="A155">
        <v>154</v>
      </c>
      <c r="B155" t="s">
        <v>313</v>
      </c>
      <c r="C155" t="s">
        <v>314</v>
      </c>
      <c r="D155" t="str">
        <f>HYPERLINK("https://www.procyclingstats.com/search.php?term=Puigdefábregas+Laia","Cerca")</f>
        <v>Cerca</v>
      </c>
      <c r="E155" t="s">
        <v>8</v>
      </c>
      <c r="F155" t="s">
        <v>8</v>
      </c>
    </row>
    <row r="156" spans="1:6">
      <c r="A156">
        <v>155</v>
      </c>
      <c r="B156" t="s">
        <v>315</v>
      </c>
      <c r="C156" t="s">
        <v>316</v>
      </c>
      <c r="D156" t="str">
        <f>HYPERLINK("https://www.procyclingstats.com/search.php?term=Pérez+Ciro","Cerca")</f>
        <v>Cerca</v>
      </c>
      <c r="E156" t="s">
        <v>8</v>
      </c>
      <c r="F156" t="s">
        <v>8</v>
      </c>
    </row>
    <row r="157" spans="1:6">
      <c r="A157">
        <v>156</v>
      </c>
      <c r="B157" t="s">
        <v>317</v>
      </c>
      <c r="C157" t="s">
        <v>318</v>
      </c>
      <c r="D157" t="str">
        <f>HYPERLINK("https://www.procyclingstats.com/search.php?term=Płosaj+Nikol","Cerca")</f>
        <v>Cerca</v>
      </c>
      <c r="E157" t="s">
        <v>8</v>
      </c>
      <c r="F157" t="s">
        <v>8</v>
      </c>
    </row>
    <row r="158" spans="1:6">
      <c r="A158">
        <v>157</v>
      </c>
      <c r="B158" t="s">
        <v>319</v>
      </c>
      <c r="C158" t="s">
        <v>320</v>
      </c>
      <c r="D158" t="str">
        <f>HYPERLINK("https://www.procyclingstats.com/search.php?term=Quilico+Gabriele","Cerca")</f>
        <v>Cerca</v>
      </c>
      <c r="E158" t="s">
        <v>8</v>
      </c>
      <c r="F158" t="s">
        <v>8</v>
      </c>
    </row>
    <row r="159" spans="1:6">
      <c r="A159">
        <v>158</v>
      </c>
      <c r="B159" t="s">
        <v>321</v>
      </c>
      <c r="C159" t="s">
        <v>322</v>
      </c>
      <c r="D159" t="str">
        <f>HYPERLINK("https://www.procyclingstats.com/search.php?term=RANDAZZO+VITO","Cerca")</f>
        <v>Cerca</v>
      </c>
      <c r="E159" t="s">
        <v>8</v>
      </c>
      <c r="F159" t="s">
        <v>8</v>
      </c>
    </row>
    <row r="160" spans="1:6">
      <c r="A160">
        <v>159</v>
      </c>
      <c r="B160" t="s">
        <v>323</v>
      </c>
      <c r="C160" t="s">
        <v>324</v>
      </c>
      <c r="D160" t="str">
        <f>HYPERLINK("https://www.procyclingstats.com/search.php?term=RANIERI+MATTEO","Cerca")</f>
        <v>Cerca</v>
      </c>
      <c r="E160" t="s">
        <v>8</v>
      </c>
      <c r="F160" t="s">
        <v>8</v>
      </c>
    </row>
    <row r="161" spans="1:6">
      <c r="A161">
        <v>160</v>
      </c>
      <c r="B161" t="s">
        <v>325</v>
      </c>
      <c r="C161" t="s">
        <v>326</v>
      </c>
      <c r="D161" t="str">
        <f>HYPERLINK("https://www.procyclingstats.com/search.php?term=RESTREPO+LOAIZA+OSCAR+IVAN","Cerca")</f>
        <v>Cerca</v>
      </c>
      <c r="E161" t="s">
        <v>8</v>
      </c>
      <c r="F161" t="s">
        <v>8</v>
      </c>
    </row>
    <row r="162" spans="1:6">
      <c r="A162">
        <v>161</v>
      </c>
      <c r="B162" t="s">
        <v>327</v>
      </c>
      <c r="C162" t="s">
        <v>328</v>
      </c>
      <c r="D162" t="str">
        <f>HYPERLINK("https://www.procyclingstats.com/search.php?term=RICCADONA+EDOARDO","Cerca")</f>
        <v>Cerca</v>
      </c>
      <c r="E162" t="s">
        <v>8</v>
      </c>
      <c r="F162" t="s">
        <v>8</v>
      </c>
    </row>
    <row r="163" spans="1:6">
      <c r="A163">
        <v>162</v>
      </c>
      <c r="B163" t="s">
        <v>329</v>
      </c>
      <c r="C163" t="s">
        <v>330</v>
      </c>
      <c r="D163" t="str">
        <f>HYPERLINK("https://www.procyclingstats.com/search.php?term=ROCCELLA+MARCO","Cerca")</f>
        <v>Cerca</v>
      </c>
      <c r="E163" t="s">
        <v>8</v>
      </c>
      <c r="F163" t="s">
        <v>8</v>
      </c>
    </row>
    <row r="164" spans="1:6">
      <c r="A164">
        <v>163</v>
      </c>
      <c r="B164" t="s">
        <v>331</v>
      </c>
      <c r="C164" t="s">
        <v>332</v>
      </c>
      <c r="D164" t="str">
        <f>HYPERLINK("https://www.procyclingstats.com/search.php?term=RODRIGUEZ+DELGADO+JOSE+EMILIO","Cerca")</f>
        <v>Cerca</v>
      </c>
      <c r="E164" t="s">
        <v>8</v>
      </c>
      <c r="F164" t="s">
        <v>8</v>
      </c>
    </row>
    <row r="165" spans="1:6">
      <c r="A165">
        <v>164</v>
      </c>
      <c r="B165" t="s">
        <v>333</v>
      </c>
      <c r="C165" t="s">
        <v>334</v>
      </c>
      <c r="D165" t="str">
        <f>HYPERLINK("https://www.procyclingstats.com/search.php?term=ROJAS+NARANJO+VICENTE+RODRIGO+ANTONIO","Cerca")</f>
        <v>Cerca</v>
      </c>
      <c r="E165" t="s">
        <v>8</v>
      </c>
      <c r="F165" t="s">
        <v>8</v>
      </c>
    </row>
    <row r="166" spans="1:6">
      <c r="A166">
        <v>165</v>
      </c>
      <c r="B166" t="s">
        <v>335</v>
      </c>
      <c r="C166" t="s">
        <v>336</v>
      </c>
      <c r="D166" t="str">
        <f>HYPERLINK("https://www.procyclingstats.com/search.php?term=ROSSI+MATTIA","Cerca")</f>
        <v>Cerca</v>
      </c>
      <c r="E166" t="s">
        <v>8</v>
      </c>
      <c r="F166" t="s">
        <v>8</v>
      </c>
    </row>
    <row r="167" spans="1:6">
      <c r="A167">
        <v>166</v>
      </c>
      <c r="B167" t="s">
        <v>337</v>
      </c>
      <c r="C167" t="s">
        <v>338</v>
      </c>
      <c r="D167" t="str">
        <f>HYPERLINK("https://www.procyclingstats.com/search.php?term=Ramírez+Mateo","Cerca")</f>
        <v>Cerca</v>
      </c>
      <c r="E167" t="s">
        <v>8</v>
      </c>
      <c r="F167" t="s">
        <v>8</v>
      </c>
    </row>
    <row r="168" spans="1:6">
      <c r="A168">
        <v>167</v>
      </c>
      <c r="B168" t="s">
        <v>339</v>
      </c>
      <c r="C168" t="s">
        <v>340</v>
      </c>
      <c r="D168" t="str">
        <f>HYPERLINK("https://www.procyclingstats.com/search.php?term=Rayfer+Ilay","Cerca")</f>
        <v>Cerca</v>
      </c>
      <c r="E168" t="s">
        <v>8</v>
      </c>
      <c r="F168" t="s">
        <v>8</v>
      </c>
    </row>
    <row r="169" spans="1:6">
      <c r="A169">
        <v>168</v>
      </c>
      <c r="B169" t="s">
        <v>341</v>
      </c>
      <c r="C169" t="s">
        <v>342</v>
      </c>
      <c r="D169" t="str">
        <f>HYPERLINK("https://www.procyclingstats.com/search.php?term=Reichmuth+Kyra","Cerca")</f>
        <v>Cerca</v>
      </c>
      <c r="E169" t="s">
        <v>8</v>
      </c>
      <c r="F169" t="s">
        <v>8</v>
      </c>
    </row>
    <row r="170" spans="1:6">
      <c r="A170">
        <v>169</v>
      </c>
      <c r="B170" t="s">
        <v>343</v>
      </c>
      <c r="C170" t="s">
        <v>344</v>
      </c>
      <c r="D170" t="str">
        <f>HYPERLINK("https://www.procyclingstats.com/search.php?term=Ricci+Federico","Cerca")</f>
        <v>Cerca</v>
      </c>
      <c r="E170" t="s">
        <v>8</v>
      </c>
      <c r="F170" t="s">
        <v>8</v>
      </c>
    </row>
    <row r="171" spans="1:6">
      <c r="A171">
        <v>170</v>
      </c>
      <c r="B171" t="s">
        <v>345</v>
      </c>
      <c r="C171" t="s">
        <v>346</v>
      </c>
      <c r="D171" t="str">
        <f>HYPERLINK("https://www.procyclingstats.com/search.php?term=Rodriguez+Diego","Cerca")</f>
        <v>Cerca</v>
      </c>
      <c r="E171" t="s">
        <v>8</v>
      </c>
      <c r="F171" t="s">
        <v>8</v>
      </c>
    </row>
    <row r="172" spans="1:6">
      <c r="A172">
        <v>171</v>
      </c>
      <c r="B172" t="s">
        <v>347</v>
      </c>
      <c r="C172" t="s">
        <v>348</v>
      </c>
      <c r="D172" t="str">
        <f>HYPERLINK("https://www.procyclingstats.com/search.php?term=Rodríguez+Laura","Cerca")</f>
        <v>Cerca</v>
      </c>
      <c r="E172" t="s">
        <v>8</v>
      </c>
      <c r="F172" t="s">
        <v>8</v>
      </c>
    </row>
    <row r="173" spans="1:6">
      <c r="A173">
        <v>172</v>
      </c>
      <c r="B173" t="s">
        <v>349</v>
      </c>
      <c r="C173" t="s">
        <v>350</v>
      </c>
      <c r="D173" t="str">
        <f>HYPERLINK("https://www.procyclingstats.com/search.php?term=Ruffin+Riccardo","Cerca")</f>
        <v>Cerca</v>
      </c>
      <c r="E173" t="s">
        <v>8</v>
      </c>
      <c r="F173" t="s">
        <v>8</v>
      </c>
    </row>
    <row r="174" spans="1:6">
      <c r="A174">
        <v>173</v>
      </c>
      <c r="B174" t="s">
        <v>351</v>
      </c>
      <c r="C174" t="s">
        <v>352</v>
      </c>
      <c r="D174" t="str">
        <f>HYPERLINK("https://www.procyclingstats.com/search.php?term=SAINT+MARTIN+PIERRE","Cerca")</f>
        <v>Cerca</v>
      </c>
      <c r="E174" t="s">
        <v>8</v>
      </c>
      <c r="F174" t="s">
        <v>8</v>
      </c>
    </row>
    <row r="175" spans="1:6">
      <c r="A175">
        <v>174</v>
      </c>
      <c r="B175" t="s">
        <v>353</v>
      </c>
      <c r="C175" t="s">
        <v>354</v>
      </c>
      <c r="D175" t="str">
        <f>HYPERLINK("https://www.procyclingstats.com/search.php?term=SANTAMARIA+RICCARDO","Cerca")</f>
        <v>Cerca</v>
      </c>
      <c r="E175" t="s">
        <v>8</v>
      </c>
      <c r="F175" t="s">
        <v>8</v>
      </c>
    </row>
    <row r="176" spans="1:6">
      <c r="A176">
        <v>175</v>
      </c>
      <c r="B176" t="s">
        <v>355</v>
      </c>
      <c r="C176" t="s">
        <v>356</v>
      </c>
      <c r="D176" t="str">
        <f>HYPERLINK("https://www.procyclingstats.com/search.php?term=SANTIAGO+GARCIA+RICARDO","Cerca")</f>
        <v>Cerca</v>
      </c>
      <c r="E176" t="s">
        <v>8</v>
      </c>
      <c r="F176" t="s">
        <v>8</v>
      </c>
    </row>
    <row r="177" spans="1:6">
      <c r="A177">
        <v>176</v>
      </c>
      <c r="B177" t="s">
        <v>357</v>
      </c>
      <c r="C177" t="s">
        <v>358</v>
      </c>
      <c r="D177" t="str">
        <f>HYPERLINK("https://www.procyclingstats.com/search.php?term=SAVEKIN+ILIA","Cerca")</f>
        <v>Cerca</v>
      </c>
      <c r="E177" t="s">
        <v>8</v>
      </c>
      <c r="F177" t="s">
        <v>8</v>
      </c>
    </row>
    <row r="178" spans="1:6">
      <c r="A178">
        <v>177</v>
      </c>
      <c r="B178" t="s">
        <v>359</v>
      </c>
      <c r="C178" t="s">
        <v>360</v>
      </c>
      <c r="D178" t="str">
        <f>HYPERLINK("https://www.procyclingstats.com/search.php?term=SCHEMBARI+FLAVIO","Cerca")</f>
        <v>Cerca</v>
      </c>
      <c r="E178" t="s">
        <v>8</v>
      </c>
      <c r="F178" t="s">
        <v>8</v>
      </c>
    </row>
    <row r="179" spans="1:6">
      <c r="A179">
        <v>178</v>
      </c>
      <c r="B179" t="s">
        <v>361</v>
      </c>
      <c r="C179" t="s">
        <v>362</v>
      </c>
      <c r="D179" t="str">
        <f>HYPERLINK("https://www.procyclingstats.com/search.php?term=SCHNYDER+NOAH","Cerca")</f>
        <v>Cerca</v>
      </c>
      <c r="E179" t="s">
        <v>8</v>
      </c>
      <c r="F179" t="s">
        <v>8</v>
      </c>
    </row>
    <row r="180" spans="1:6">
      <c r="A180">
        <v>179</v>
      </c>
      <c r="B180" t="s">
        <v>363</v>
      </c>
      <c r="C180" t="s">
        <v>364</v>
      </c>
      <c r="D180" t="str">
        <f>HYPERLINK("https://www.procyclingstats.com/search.php?term=SCOTT+BOURIS+AMOS","Cerca")</f>
        <v>Cerca</v>
      </c>
      <c r="E180" t="s">
        <v>8</v>
      </c>
      <c r="F180" t="s">
        <v>8</v>
      </c>
    </row>
    <row r="181" spans="1:6">
      <c r="A181">
        <v>180</v>
      </c>
      <c r="B181" t="s">
        <v>365</v>
      </c>
      <c r="C181" t="s">
        <v>366</v>
      </c>
      <c r="D181" t="str">
        <f>HYPERLINK("https://www.procyclingstats.com/search.php?term=SECHI+MARCO","Cerca")</f>
        <v>Cerca</v>
      </c>
      <c r="E181" t="s">
        <v>8</v>
      </c>
      <c r="F181" t="s">
        <v>8</v>
      </c>
    </row>
    <row r="182" spans="1:6">
      <c r="A182">
        <v>181</v>
      </c>
      <c r="B182" t="s">
        <v>367</v>
      </c>
      <c r="C182" t="s">
        <v>368</v>
      </c>
      <c r="D182" t="str">
        <f>HYPERLINK("https://www.procyclingstats.com/search.php?term=SHANNON+HARRISON","Cerca")</f>
        <v>Cerca</v>
      </c>
      <c r="E182" t="s">
        <v>8</v>
      </c>
      <c r="F182" t="s">
        <v>8</v>
      </c>
    </row>
    <row r="183" spans="1:6">
      <c r="A183">
        <v>182</v>
      </c>
      <c r="B183" t="s">
        <v>369</v>
      </c>
      <c r="C183" t="s">
        <v>370</v>
      </c>
      <c r="D183" t="str">
        <f>HYPERLINK("https://www.procyclingstats.com/search.php?term=SOLLA+LEONARDO","Cerca")</f>
        <v>Cerca</v>
      </c>
      <c r="E183" t="s">
        <v>8</v>
      </c>
      <c r="F183" t="s">
        <v>8</v>
      </c>
    </row>
    <row r="184" spans="1:6">
      <c r="A184">
        <v>183</v>
      </c>
      <c r="B184" t="s">
        <v>371</v>
      </c>
      <c r="C184" t="s">
        <v>372</v>
      </c>
      <c r="D184" t="str">
        <f>HYPERLINK("https://www.procyclingstats.com/search.php?term=SOTO+CERVANTES+ALEJANDRO","Cerca")</f>
        <v>Cerca</v>
      </c>
      <c r="E184" t="s">
        <v>8</v>
      </c>
      <c r="F184" t="s">
        <v>8</v>
      </c>
    </row>
    <row r="185" spans="1:6">
      <c r="A185">
        <v>184</v>
      </c>
      <c r="B185" t="s">
        <v>373</v>
      </c>
      <c r="C185" t="s">
        <v>374</v>
      </c>
      <c r="D185" t="str">
        <f>HYPERLINK("https://www.procyclingstats.com/search.php?term=STELLA+ANTONIO+TANCREDI","Cerca")</f>
        <v>Cerca</v>
      </c>
      <c r="E185" t="s">
        <v>8</v>
      </c>
      <c r="F185" t="s">
        <v>8</v>
      </c>
    </row>
    <row r="186" spans="1:6">
      <c r="A186">
        <v>185</v>
      </c>
      <c r="B186" t="s">
        <v>375</v>
      </c>
      <c r="C186" t="s">
        <v>376</v>
      </c>
      <c r="D186" t="str">
        <f>HYPERLINK("https://www.procyclingstats.com/search.php?term=SUPI+SEBASTIAN","Cerca")</f>
        <v>Cerca</v>
      </c>
      <c r="E186" t="s">
        <v>8</v>
      </c>
      <c r="F186" t="s">
        <v>8</v>
      </c>
    </row>
    <row r="187" spans="1:6">
      <c r="A187">
        <v>186</v>
      </c>
      <c r="B187" t="s">
        <v>377</v>
      </c>
      <c r="C187" t="s">
        <v>378</v>
      </c>
      <c r="D187" t="str">
        <f>HYPERLINK("https://www.procyclingstats.com/search.php?term=Saguatti+Fabian","Cerca")</f>
        <v>Cerca</v>
      </c>
      <c r="E187" t="s">
        <v>8</v>
      </c>
      <c r="F187" t="s">
        <v>8</v>
      </c>
    </row>
    <row r="188" spans="1:6">
      <c r="A188">
        <v>187</v>
      </c>
      <c r="B188" t="s">
        <v>379</v>
      </c>
      <c r="C188" t="s">
        <v>380</v>
      </c>
      <c r="D188" t="str">
        <f>HYPERLINK("https://www.procyclingstats.com/search.php?term=Støvern+Ida+Østbye","Cerca")</f>
        <v>Cerca</v>
      </c>
      <c r="E188" t="s">
        <v>8</v>
      </c>
      <c r="F188" t="s">
        <v>8</v>
      </c>
    </row>
    <row r="189" spans="1:6">
      <c r="A189">
        <v>188</v>
      </c>
      <c r="B189" t="s">
        <v>381</v>
      </c>
      <c r="C189" t="s">
        <v>382</v>
      </c>
      <c r="D189" t="str">
        <f>HYPERLINK("https://www.procyclingstats.com/search.php?term=Słomka+Kinga","Cerca")</f>
        <v>Cerca</v>
      </c>
      <c r="E189" t="s">
        <v>8</v>
      </c>
      <c r="F189" t="s">
        <v>8</v>
      </c>
    </row>
    <row r="190" spans="1:6">
      <c r="A190">
        <v>189</v>
      </c>
      <c r="B190" t="s">
        <v>383</v>
      </c>
      <c r="C190" t="s">
        <v>384</v>
      </c>
      <c r="D190" t="str">
        <f>HYPERLINK("https://www.procyclingstats.com/search.php?term=TERCERO+LOPEZ+FERNANDO","Cerca")</f>
        <v>Cerca</v>
      </c>
      <c r="E190" t="s">
        <v>8</v>
      </c>
      <c r="F190" t="s">
        <v>8</v>
      </c>
    </row>
    <row r="191" spans="1:6">
      <c r="A191">
        <v>190</v>
      </c>
      <c r="B191" t="s">
        <v>385</v>
      </c>
      <c r="C191" t="s">
        <v>386</v>
      </c>
      <c r="D191" t="str">
        <f>HYPERLINK("https://www.procyclingstats.com/search.php?term=Tercero+Fernando","Cerca")</f>
        <v>Cerca</v>
      </c>
      <c r="E191" t="s">
        <v>8</v>
      </c>
      <c r="F191" t="s">
        <v>8</v>
      </c>
    </row>
    <row r="192" spans="1:6">
      <c r="A192">
        <v>191</v>
      </c>
      <c r="B192" t="s">
        <v>387</v>
      </c>
      <c r="C192" t="s">
        <v>388</v>
      </c>
      <c r="D192" t="str">
        <f>HYPERLINK("https://www.procyclingstats.com/search.php?term=Tobul+Yair","Cerca")</f>
        <v>Cerca</v>
      </c>
      <c r="E192" t="s">
        <v>8</v>
      </c>
      <c r="F192" t="s">
        <v>8</v>
      </c>
    </row>
    <row r="193" spans="1:6">
      <c r="A193">
        <v>192</v>
      </c>
      <c r="B193" t="s">
        <v>389</v>
      </c>
      <c r="C193" t="s">
        <v>390</v>
      </c>
      <c r="D193" t="str">
        <f>HYPERLINK("https://www.procyclingstats.com/search.php?term=Trisconi+Elia","Cerca")</f>
        <v>Cerca</v>
      </c>
      <c r="E193" t="s">
        <v>8</v>
      </c>
      <c r="F193" t="s">
        <v>8</v>
      </c>
    </row>
    <row r="194" spans="1:6">
      <c r="A194">
        <v>193</v>
      </c>
      <c r="B194" t="s">
        <v>391</v>
      </c>
      <c r="C194" t="s">
        <v>392</v>
      </c>
      <c r="D194" t="str">
        <f>HYPERLINK("https://www.procyclingstats.com/search.php?term=Utengen+Sandstad+Halvor","Cerca")</f>
        <v>Cerca</v>
      </c>
      <c r="E194" t="s">
        <v>8</v>
      </c>
      <c r="F194" t="s">
        <v>8</v>
      </c>
    </row>
    <row r="195" spans="1:6">
      <c r="A195">
        <v>194</v>
      </c>
      <c r="B195" t="s">
        <v>393</v>
      </c>
      <c r="C195" t="s">
        <v>394</v>
      </c>
      <c r="D195" t="str">
        <f>HYPERLINK("https://www.procyclingstats.com/search.php?term=VAL'O+ROMAN","Cerca")</f>
        <v>Cerca</v>
      </c>
      <c r="E195" t="s">
        <v>8</v>
      </c>
      <c r="F195" t="s">
        <v>8</v>
      </c>
    </row>
    <row r="196" spans="1:6">
      <c r="A196">
        <v>195</v>
      </c>
      <c r="B196" t="s">
        <v>395</v>
      </c>
      <c r="C196" t="s">
        <v>396</v>
      </c>
      <c r="D196" t="str">
        <f>HYPERLINK("https://www.procyclingstats.com/search.php?term=VAN+ANROOIJ+SHIRIN","Cerca")</f>
        <v>Cerca</v>
      </c>
      <c r="E196" t="s">
        <v>8</v>
      </c>
      <c r="F196" t="s">
        <v>8</v>
      </c>
    </row>
    <row r="197" spans="1:6">
      <c r="A197">
        <v>196</v>
      </c>
      <c r="B197" t="s">
        <v>397</v>
      </c>
      <c r="C197" t="s">
        <v>398</v>
      </c>
      <c r="D197" t="str">
        <f>HYPERLINK("https://www.procyclingstats.com/search.php?term=VAN+DEN+BIGGELAAR","Cerca")</f>
        <v>Cerca</v>
      </c>
      <c r="E197" t="s">
        <v>8</v>
      </c>
      <c r="F197" t="s">
        <v>8</v>
      </c>
    </row>
    <row r="198" spans="1:6">
      <c r="A198">
        <v>197</v>
      </c>
      <c r="B198" t="s">
        <v>399</v>
      </c>
      <c r="C198" t="s">
        <v>400</v>
      </c>
      <c r="D198" t="str">
        <f>HYPERLINK("https://www.procyclingstats.com/search.php?term=VERONI+RICCARDO","Cerca")</f>
        <v>Cerca</v>
      </c>
      <c r="E198" t="s">
        <v>8</v>
      </c>
      <c r="F198" t="s">
        <v>8</v>
      </c>
    </row>
    <row r="199" spans="1:6">
      <c r="A199">
        <v>198</v>
      </c>
      <c r="B199" t="s">
        <v>401</v>
      </c>
      <c r="C199" t="s">
        <v>402</v>
      </c>
      <c r="D199" t="str">
        <f>HYPERLINK("https://www.procyclingstats.com/search.php?term=VESHNIAKOV+DANIIL","Cerca")</f>
        <v>Cerca</v>
      </c>
      <c r="E199" t="s">
        <v>8</v>
      </c>
      <c r="F199" t="s">
        <v>8</v>
      </c>
    </row>
    <row r="200" spans="1:6">
      <c r="A200">
        <v>199</v>
      </c>
      <c r="B200" t="s">
        <v>403</v>
      </c>
      <c r="C200" t="s">
        <v>404</v>
      </c>
      <c r="D200" t="str">
        <f>HYPERLINK("https://www.procyclingstats.com/search.php?term=VILLA+MATTEO","Cerca")</f>
        <v>Cerca</v>
      </c>
      <c r="E200" t="s">
        <v>8</v>
      </c>
      <c r="F200" t="s">
        <v>8</v>
      </c>
    </row>
    <row r="201" spans="1:6">
      <c r="A201">
        <v>200</v>
      </c>
      <c r="B201" t="s">
        <v>405</v>
      </c>
      <c r="C201" t="s">
        <v>406</v>
      </c>
      <c r="D201" t="str">
        <f>HYPERLINK("https://www.procyclingstats.com/search.php?term=Van+De+Velde+Julie","Cerca")</f>
        <v>Cerca</v>
      </c>
      <c r="E201" t="s">
        <v>8</v>
      </c>
      <c r="F201" t="s">
        <v>8</v>
      </c>
    </row>
    <row r="202" spans="1:6">
      <c r="A202">
        <v>201</v>
      </c>
      <c r="B202" t="s">
        <v>407</v>
      </c>
      <c r="C202" t="s">
        <v>408</v>
      </c>
      <c r="D202" t="str">
        <f>HYPERLINK("https://www.procyclingstats.com/search.php?term=WIGGINS+MICHEAL+BEN","Cerca")</f>
        <v>Cerca</v>
      </c>
      <c r="E202" t="s">
        <v>8</v>
      </c>
      <c r="F202" t="s">
        <v>8</v>
      </c>
    </row>
    <row r="203" spans="1:6">
      <c r="A203">
        <v>202</v>
      </c>
      <c r="B203" t="s">
        <v>409</v>
      </c>
      <c r="C203" t="s">
        <v>410</v>
      </c>
      <c r="D203" t="str">
        <f>HYPERLINK("https://www.procyclingstats.com/search.php?term=WROLICH+SANTIAGO","Cerca")</f>
        <v>Cerca</v>
      </c>
      <c r="E203" t="s">
        <v>8</v>
      </c>
      <c r="F203" t="s">
        <v>8</v>
      </c>
    </row>
    <row r="204" spans="1:6">
      <c r="A204">
        <v>203</v>
      </c>
      <c r="B204" t="s">
        <v>411</v>
      </c>
      <c r="C204" t="s">
        <v>412</v>
      </c>
      <c r="D204" t="str">
        <f>HYPERLINK("https://www.procyclingstats.com/search.php?term=Wiesmayr+Niklas","Cerca")</f>
        <v>Cerca</v>
      </c>
      <c r="E204" t="s">
        <v>8</v>
      </c>
      <c r="F204" t="s">
        <v>8</v>
      </c>
    </row>
    <row r="205" spans="1:6">
      <c r="A205">
        <v>204</v>
      </c>
      <c r="B205" t="s">
        <v>413</v>
      </c>
      <c r="C205" t="s">
        <v>414</v>
      </c>
      <c r="D205" t="str">
        <f>HYPERLINK("https://www.procyclingstats.com/search.php?term=Włodarczyk+Dominika","Cerca")</f>
        <v>Cerca</v>
      </c>
      <c r="E205" t="s">
        <v>8</v>
      </c>
      <c r="F205" t="s">
        <v>8</v>
      </c>
    </row>
    <row r="206" spans="1:6">
      <c r="A206">
        <v>205</v>
      </c>
      <c r="B206" t="s">
        <v>415</v>
      </c>
      <c r="C206" t="s">
        <v>416</v>
      </c>
      <c r="D206" t="str">
        <f>HYPERLINK("https://www.procyclingstats.com/search.php?term=Włodarski+Marcin","Cerca")</f>
        <v>Cerca</v>
      </c>
      <c r="E206" t="s">
        <v>8</v>
      </c>
      <c r="F206" t="s">
        <v>8</v>
      </c>
    </row>
    <row r="207" spans="1:6">
      <c r="A207">
        <v>206</v>
      </c>
      <c r="B207" t="s">
        <v>417</v>
      </c>
      <c r="C207" t="s">
        <v>418</v>
      </c>
      <c r="D207" t="str">
        <f>HYPERLINK("https://www.procyclingstats.com/search.php?term=ZAMUDIO+GARCIA+MAYTE","Cerca")</f>
        <v>Cerca</v>
      </c>
      <c r="E207" t="s">
        <v>8</v>
      </c>
      <c r="F207" t="s">
        <v>8</v>
      </c>
    </row>
    <row r="208" spans="1:6">
      <c r="A208">
        <v>207</v>
      </c>
      <c r="B208" t="s">
        <v>419</v>
      </c>
      <c r="C208" t="s">
        <v>420</v>
      </c>
      <c r="D208" t="str">
        <f>HYPERLINK("https://www.procyclingstats.com/search.php?term=ZOZULIA+ANDRII","Cerca")</f>
        <v>Cerca</v>
      </c>
      <c r="E208" t="s">
        <v>8</v>
      </c>
      <c r="F208" t="s">
        <v>8</v>
      </c>
    </row>
    <row r="209" spans="1:6">
      <c r="A209">
        <v>208</v>
      </c>
      <c r="B209" t="s">
        <v>421</v>
      </c>
      <c r="C209" t="s">
        <v>422</v>
      </c>
      <c r="D209" t="str">
        <f>HYPERLINK("https://www.procyclingstats.com/search.php?term=Zamudio+Gianluigi","Cerca")</f>
        <v>Cerca</v>
      </c>
      <c r="E209" t="s">
        <v>8</v>
      </c>
      <c r="F209" t="s">
        <v>8</v>
      </c>
    </row>
    <row r="210" spans="1:6">
      <c r="A210">
        <v>209</v>
      </c>
      <c r="B210" t="s">
        <v>423</v>
      </c>
      <c r="C210" t="s">
        <v>424</v>
      </c>
      <c r="D210" t="str">
        <f>HYPERLINK("https://www.procyclingstats.com/search.php?term=Zandri+Francesco","Cerca")</f>
        <v>Cerca</v>
      </c>
      <c r="E210" t="s">
        <v>8</v>
      </c>
      <c r="F210" t="s">
        <v>8</v>
      </c>
    </row>
    <row r="211" spans="1:6">
      <c r="A211">
        <v>210</v>
      </c>
      <c r="B211" t="s">
        <v>425</v>
      </c>
      <c r="C211" t="s">
        <v>426</v>
      </c>
      <c r="D211" t="str">
        <f>HYPERLINK("https://www.procyclingstats.com/search.php?term=de+Jong+Loïs","Cerca")</f>
        <v>Cerca</v>
      </c>
      <c r="E211" t="s">
        <v>8</v>
      </c>
      <c r="F211" t="s">
        <v>8</v>
      </c>
    </row>
    <row r="212" spans="1:6">
      <c r="A212">
        <v>211</v>
      </c>
      <c r="B212" t="s">
        <v>427</v>
      </c>
      <c r="C212" t="s">
        <v>428</v>
      </c>
      <c r="D212" t="str">
        <f>HYPERLINK("https://www.procyclingstats.com/search.php?term=de+Jong+Thalita","Cerca")</f>
        <v>Cerca</v>
      </c>
      <c r="E212" t="s">
        <v>8</v>
      </c>
      <c r="F212" t="s">
        <v>8</v>
      </c>
    </row>
    <row r="213" spans="1:6">
      <c r="A213">
        <v>212</v>
      </c>
      <c r="B213" t="s">
        <v>429</v>
      </c>
      <c r="C213" t="s">
        <v>430</v>
      </c>
      <c r="D213" t="str">
        <f>HYPERLINK("https://www.procyclingstats.com/search.php?term=de+Marigny-Lagesse+Lucie","Cerca")</f>
        <v>Cerca</v>
      </c>
      <c r="E213" t="s">
        <v>8</v>
      </c>
      <c r="F213" t="s">
        <v>8</v>
      </c>
    </row>
    <row r="214" spans="1:6">
      <c r="A214">
        <v>213</v>
      </c>
      <c r="B214" t="s">
        <v>431</v>
      </c>
      <c r="C214" t="s">
        <v>432</v>
      </c>
      <c r="D214" t="str">
        <f>HYPERLINK("https://www.procyclingstats.com/search.php?term=de+Zoete+Mylène","Cerca")</f>
        <v>Cerca</v>
      </c>
      <c r="E214" t="s">
        <v>8</v>
      </c>
      <c r="F214" t="s">
        <v>8</v>
      </c>
    </row>
    <row r="215" spans="1:6">
      <c r="A215">
        <v>214</v>
      </c>
      <c r="B215" t="s">
        <v>433</v>
      </c>
      <c r="C215" t="s">
        <v>434</v>
      </c>
      <c r="D215" t="str">
        <f>HYPERLINK("https://www.procyclingstats.com/search.php?term=van+'t+Geloof+Marjolein","Cerca")</f>
        <v>Cerca</v>
      </c>
      <c r="E215" t="s">
        <v>8</v>
      </c>
      <c r="F215" t="s">
        <v>8</v>
      </c>
    </row>
    <row r="216" spans="1:6">
      <c r="A216">
        <v>215</v>
      </c>
      <c r="B216" t="s">
        <v>435</v>
      </c>
      <c r="C216" t="s">
        <v>436</v>
      </c>
      <c r="D216" t="str">
        <f>HYPERLINK("https://www.procyclingstats.com/search.php?term=van+Agt+Eva","Cerca")</f>
        <v>Cerca</v>
      </c>
      <c r="E216" t="s">
        <v>8</v>
      </c>
      <c r="F216" t="s">
        <v>8</v>
      </c>
    </row>
    <row r="217" spans="1:6">
      <c r="A217">
        <v>216</v>
      </c>
      <c r="B217" t="s">
        <v>437</v>
      </c>
      <c r="C217" t="s">
        <v>438</v>
      </c>
      <c r="D217" t="str">
        <f>HYPERLINK("https://www.procyclingstats.com/search.php?term=van+Rijswijk+Hannah","Cerca")</f>
        <v>Cerca</v>
      </c>
      <c r="E217" t="s">
        <v>8</v>
      </c>
      <c r="F217" t="s">
        <v>8</v>
      </c>
    </row>
    <row r="218" spans="1:6">
      <c r="A218">
        <v>217</v>
      </c>
      <c r="B218" t="s">
        <v>439</v>
      </c>
      <c r="C218" t="s">
        <v>440</v>
      </c>
      <c r="D218" t="str">
        <f>HYPERLINK("https://www.procyclingstats.com/search.php?term=van+Rooijen+Sofie","Cerca")</f>
        <v>Cerca</v>
      </c>
      <c r="E218" t="s">
        <v>8</v>
      </c>
      <c r="F218" t="s">
        <v>8</v>
      </c>
    </row>
    <row r="219" spans="1:6">
      <c r="A219">
        <v>218</v>
      </c>
      <c r="B219" t="s">
        <v>441</v>
      </c>
      <c r="C219" t="s">
        <v>442</v>
      </c>
      <c r="D219" t="str">
        <f>HYPERLINK("https://www.procyclingstats.com/search.php?term=van+der+Duin+Maike","Cerca")</f>
        <v>Cerca</v>
      </c>
      <c r="E219" t="s">
        <v>8</v>
      </c>
      <c r="F219" t="s">
        <v>8</v>
      </c>
    </row>
    <row r="220" spans="1:6">
      <c r="A220">
        <v>219</v>
      </c>
      <c r="B220" t="s">
        <v>443</v>
      </c>
      <c r="C220" t="s">
        <v>444</v>
      </c>
      <c r="D220" t="str">
        <f>HYPERLINK("https://www.procyclingstats.com/search.php?term=von+Berswordt+Sophie","Cerca")</f>
        <v>Cerca</v>
      </c>
      <c r="E220" t="s">
        <v>8</v>
      </c>
      <c r="F220" t="s">
        <v>8</v>
      </c>
    </row>
    <row r="221" spans="1:6">
      <c r="A221">
        <v>220</v>
      </c>
      <c r="B221" t="s">
        <v>445</v>
      </c>
      <c r="C221" t="s">
        <v>446</v>
      </c>
      <c r="D221" t="str">
        <f>HYPERLINK("https://www.procyclingstats.com/search.php?term=Østdal+Linus","Cerca")</f>
        <v>Cerca</v>
      </c>
      <c r="E221" t="s">
        <v>8</v>
      </c>
      <c r="F221" t="s">
        <v>8</v>
      </c>
    </row>
    <row r="222" spans="1:6">
      <c r="A222">
        <v>221</v>
      </c>
      <c r="B222" t="s">
        <v>447</v>
      </c>
      <c r="D222" t="str">
        <f>HYPERLINK("https://www.procyclingstats.com/search.php?term=celle+gialle+(colonne+E-F)+=+da+compilare+tu+—+incolla+il+link+del+profilo+PCS+trovato+e,+se+vuoi,+una+nota","Cerca")</f>
        <v>Cerca</v>
      </c>
      <c r="E222" t="s">
        <v>8</v>
      </c>
      <c r="F222" t="s">
        <v>8</v>
      </c>
    </row>
    <row r="223" spans="1:6">
      <c r="A223">
        <v>222</v>
      </c>
      <c r="B223" t="s">
        <v>448</v>
      </c>
      <c r="D223" t="str">
        <f>HYPERLINK("https://www.procyclingstats.com/search.php?term=lista+corretta+rispetto+al+giro+grezzo:+esclusi+gli+atleti+che+in+realta'+hanno+gia'+un+profilo+PCS+funzionante+(falsi+negativi+da+intoppi+di+rete+durante+lo+scraping)","Cerca")</f>
        <v>Cerca</v>
      </c>
      <c r="E223" t="s">
        <v>8</v>
      </c>
      <c r="F223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5"/>
  <cols>
    <col min="1" max="1" width="40" customWidth="1"/>
  </cols>
  <sheetData>
    <row r="1" spans="1:1">
      <c r="A1" s="5" t="s">
        <v>449</v>
      </c>
    </row>
    <row r="2" spans="1:1">
      <c r="A2" s="3" t="s">
        <v>1</v>
      </c>
    </row>
    <row r="3" spans="1:1">
      <c r="A3" t="s">
        <v>450</v>
      </c>
    </row>
    <row r="4" spans="1:1">
      <c r="A4" t="s">
        <v>451</v>
      </c>
    </row>
    <row r="5" spans="1:1">
      <c r="A5" t="s">
        <v>452</v>
      </c>
    </row>
    <row r="6" spans="1:1">
      <c r="A6" t="s">
        <v>453</v>
      </c>
    </row>
    <row r="7" spans="1:1">
      <c r="A7" t="s">
        <v>454</v>
      </c>
    </row>
    <row r="8" spans="1:1">
      <c r="A8" t="s">
        <v>455</v>
      </c>
    </row>
    <row r="9" spans="1:1">
      <c r="A9" t="s">
        <v>456</v>
      </c>
    </row>
    <row r="10" spans="1:1">
      <c r="A10" t="s">
        <v>457</v>
      </c>
    </row>
    <row r="11" spans="1:1">
      <c r="A11" t="s">
        <v>458</v>
      </c>
    </row>
    <row r="12" spans="1:1">
      <c r="A12" t="s">
        <v>459</v>
      </c>
    </row>
    <row r="13" spans="1:1">
      <c r="A13" t="s">
        <v>460</v>
      </c>
    </row>
    <row r="14" spans="1:1">
      <c r="A14" t="s">
        <v>461</v>
      </c>
    </row>
    <row r="15" spans="1:1">
      <c r="A15" t="s">
        <v>462</v>
      </c>
    </row>
    <row r="16" spans="1:1">
      <c r="A16" t="s">
        <v>463</v>
      </c>
    </row>
    <row r="17" spans="1:1">
      <c r="A17" t="s">
        <v>464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5"/>
  <sheetViews>
    <sheetView tabSelected="1" workbookViewId="0">
      <pane ySplit="1" topLeftCell="A2" activePane="bottomLeft" state="frozen"/>
      <selection/>
      <selection pane="bottomLeft" activeCell="C2" sqref="A2:C22"/>
    </sheetView>
  </sheetViews>
  <sheetFormatPr defaultColWidth="9" defaultRowHeight="15" outlineLevelCol="3"/>
  <cols>
    <col min="1" max="1" width="5" style="1" customWidth="1"/>
    <col min="2" max="2" width="42" customWidth="1"/>
    <col min="3" max="3" width="30" customWidth="1"/>
    <col min="4" max="4" width="20" customWidth="1"/>
  </cols>
  <sheetData>
    <row r="1" spans="1:4">
      <c r="A1" s="2" t="s">
        <v>0</v>
      </c>
      <c r="B1" s="3" t="s">
        <v>465</v>
      </c>
      <c r="C1" s="3" t="s">
        <v>466</v>
      </c>
      <c r="D1" s="3" t="s">
        <v>5</v>
      </c>
    </row>
    <row r="2" spans="1:4">
      <c r="A2" s="1">
        <v>1</v>
      </c>
      <c r="B2" t="s">
        <v>467</v>
      </c>
      <c r="C2" t="s">
        <v>468</v>
      </c>
      <c r="D2" t="str">
        <f>HYPERLINK("https://www.procyclingstats.com/search.php?term=BUSTESE+OLONIA+A.S.D.","Cerca su PCS")</f>
        <v>Cerca su PCS</v>
      </c>
    </row>
    <row r="3" spans="1:4">
      <c r="A3" s="1">
        <v>2</v>
      </c>
      <c r="B3" t="s">
        <v>469</v>
      </c>
      <c r="C3" t="s">
        <v>470</v>
      </c>
      <c r="D3" t="str">
        <f>HYPERLINK("https://www.procyclingstats.com/search.php?term=S.C.+ROMANESE+ASD","Cerca su PCS")</f>
        <v>Cerca su PCS</v>
      </c>
    </row>
    <row r="4" spans="1:4">
      <c r="A4" s="1">
        <v>3</v>
      </c>
      <c r="B4" t="s">
        <v>471</v>
      </c>
      <c r="C4" t="s">
        <v>472</v>
      </c>
      <c r="D4" t="str">
        <f>HYPERLINK("https://www.procyclingstats.com/search.php?term=TEAM+ECOTEK+ZERO24","Cerca su PCS")</f>
        <v>Cerca su PCS</v>
      </c>
    </row>
    <row r="5" spans="1:4">
      <c r="A5" s="1">
        <v>4</v>
      </c>
      <c r="B5" t="s">
        <v>473</v>
      </c>
      <c r="C5" t="s">
        <v>474</v>
      </c>
      <c r="D5" t="str">
        <f>HYPERLINK("https://www.procyclingstats.com/search.php?term=G.S.GIOVANI+GIUSSANESI+A.S.D.","Cerca su PCS")</f>
        <v>Cerca su PCS</v>
      </c>
    </row>
    <row r="6" spans="1:4">
      <c r="A6" s="1">
        <v>5</v>
      </c>
      <c r="B6" t="s">
        <v>475</v>
      </c>
      <c r="C6" t="s">
        <v>476</v>
      </c>
      <c r="D6" t="str">
        <f>HYPERLINK("https://www.procyclingstats.com/search.php?term=U.S.+MONTECORONA","Cerca su PCS")</f>
        <v>Cerca su PCS</v>
      </c>
    </row>
    <row r="7" spans="1:4">
      <c r="A7" s="1">
        <v>6</v>
      </c>
      <c r="B7" t="s">
        <v>477</v>
      </c>
      <c r="C7" t="s">
        <v>478</v>
      </c>
      <c r="D7" t="str">
        <f>HYPERLINK("https://www.procyclingstats.com/search.php?term=V.C.MENDRISIO","Cerca su PCS")</f>
        <v>Cerca su PCS</v>
      </c>
    </row>
    <row r="8" spans="1:4">
      <c r="A8" s="1">
        <v>7</v>
      </c>
      <c r="B8" t="s">
        <v>479</v>
      </c>
      <c r="C8" t="s">
        <v>480</v>
      </c>
      <c r="D8" t="str">
        <f>HYPERLINK("https://www.procyclingstats.com/search.php?term=BELTRAMI+TSA-LA+RISORSA+UMANA-VC+RE","Cerca su PCS")</f>
        <v>Cerca su PCS</v>
      </c>
    </row>
    <row r="9" spans="1:4">
      <c r="A9" s="1">
        <v>8</v>
      </c>
      <c r="B9" t="s">
        <v>481</v>
      </c>
      <c r="C9" t="s">
        <v>482</v>
      </c>
      <c r="D9" t="str">
        <f>HYPERLINK("https://www.procyclingstats.com/search.php?term=ACCADEMIA+CICLISTICA","Cerca su PCS")</f>
        <v>Cerca su PCS</v>
      </c>
    </row>
    <row r="10" spans="1:4">
      <c r="A10" s="1">
        <v>9</v>
      </c>
      <c r="B10" t="s">
        <v>483</v>
      </c>
      <c r="C10" t="s">
        <v>484</v>
      </c>
      <c r="D10" t="str">
        <f>HYPERLINK("https://www.procyclingstats.com/search.php?term=TEAM+TIEPOLO+U19+DEVO","Cerca su PCS")</f>
        <v>Cerca su PCS</v>
      </c>
    </row>
    <row r="11" spans="1:4">
      <c r="A11" s="1">
        <v>10</v>
      </c>
      <c r="B11" s="1" t="s">
        <v>485</v>
      </c>
      <c r="C11" t="s">
        <v>486</v>
      </c>
      <c r="D11" t="str">
        <f>HYPERLINK("https://www.procyclingstats.com/search.php?term=CAMPANA+IMBALLAGGI+MORBIATO+TRENTINO","Cerca su PCS")</f>
        <v>Cerca su PCS</v>
      </c>
    </row>
    <row r="12" spans="1:4">
      <c r="B12" s="1"/>
      <c r="C12" t="s">
        <v>487</v>
      </c>
    </row>
    <row r="13" spans="1:4">
      <c r="A13" s="1">
        <v>11</v>
      </c>
      <c r="B13" t="s">
        <v>488</v>
      </c>
      <c r="C13" t="s">
        <v>489</v>
      </c>
      <c r="D13" t="str">
        <f>HYPERLINK("https://www.procyclingstats.com/search.php?term=FAIZANE'+CSZ+SANDRIGO+BIKE","Cerca su PCS")</f>
        <v>Cerca su PCS</v>
      </c>
    </row>
    <row r="14" spans="1:4">
      <c r="A14" s="1">
        <v>12</v>
      </c>
      <c r="B14" t="s">
        <v>490</v>
      </c>
      <c r="C14" t="s">
        <v>491</v>
      </c>
      <c r="D14" t="str">
        <f>HYPERLINK("https://www.procyclingstats.com/search.php?term=A.S.D.+POSTUMIA+73+D.L.+CICLISMO","Cerca su PCS")</f>
        <v>Cerca su PCS</v>
      </c>
    </row>
    <row r="15" spans="1:4">
      <c r="A15" s="1">
        <v>13</v>
      </c>
      <c r="B15" t="s">
        <v>492</v>
      </c>
      <c r="C15" t="s">
        <v>493</v>
      </c>
      <c r="D15" t="str">
        <f>HYPERLINK("https://www.procyclingstats.com/search.php?term=A.S.D.+CICLISTICA+MONSELICE","Cerca su PCS")</f>
        <v>Cerca su PCS</v>
      </c>
    </row>
    <row r="16" spans="1:4">
      <c r="A16" s="1">
        <v>14</v>
      </c>
      <c r="B16" t="s">
        <v>494</v>
      </c>
      <c r="C16" t="s">
        <v>495</v>
      </c>
      <c r="D16" t="str">
        <f>HYPERLINK("https://www.procyclingstats.com/search.php?term=VELEKA+TEAM","Cerca su PCS")</f>
        <v>Cerca su PCS</v>
      </c>
    </row>
    <row r="17" spans="1:4">
      <c r="A17" s="1">
        <v>15</v>
      </c>
      <c r="B17" t="s">
        <v>496</v>
      </c>
      <c r="C17" t="s">
        <v>8</v>
      </c>
      <c r="D17" t="str">
        <f>HYPERLINK("https://www.procyclingstats.com/search.php?term=LMC+BOGOTA'","Cerca su PCS")</f>
        <v>Cerca su PCS</v>
      </c>
    </row>
    <row r="18" spans="1:4">
      <c r="A18" s="1">
        <v>16</v>
      </c>
      <c r="B18" s="1" t="s">
        <v>497</v>
      </c>
      <c r="C18" s="4" t="s">
        <v>498</v>
      </c>
      <c r="D18" t="str">
        <f>HYPERLINK("https://www.procyclingstats.com/search.php?term=A.R.MONEX+PRO+CYCLING+TEAM","Cerca su PCS")</f>
        <v>Cerca su PCS</v>
      </c>
    </row>
    <row r="19" spans="1:4">
      <c r="B19" s="1"/>
      <c r="C19" s="4" t="s">
        <v>499</v>
      </c>
    </row>
    <row r="20" spans="1:4">
      <c r="A20" s="1">
        <v>17</v>
      </c>
      <c r="B20" t="s">
        <v>500</v>
      </c>
      <c r="C20" t="s">
        <v>501</v>
      </c>
      <c r="D20" t="str">
        <f>HYPERLINK("https://www.procyclingstats.com/search.php?term=TEAM+WILIER+BREGANZE","Cerca su PCS")</f>
        <v>Cerca su PCS</v>
      </c>
    </row>
    <row r="21" spans="1:4">
      <c r="A21" s="1">
        <v>18</v>
      </c>
      <c r="B21" t="s">
        <v>502</v>
      </c>
      <c r="C21" t="s">
        <v>503</v>
      </c>
      <c r="D21" t="str">
        <f>HYPERLINK("https://www.procyclingstats.com/search.php?term=CANTURINO+1902+A.S.D.","Cerca su PCS")</f>
        <v>Cerca su PCS</v>
      </c>
    </row>
    <row r="22" spans="1:4">
      <c r="A22" s="1">
        <v>19</v>
      </c>
      <c r="B22" t="s">
        <v>504</v>
      </c>
      <c r="C22" t="s">
        <v>505</v>
      </c>
      <c r="D22" t="str">
        <f>HYPERLINK("https://www.procyclingstats.com/search.php?term=U.C.CONSCIO+PEDALE+DEL+SILE","Cerca su PCS")</f>
        <v>Cerca su PCS</v>
      </c>
    </row>
    <row r="23" spans="1:4">
      <c r="A23" s="1">
        <v>45</v>
      </c>
      <c r="B23" t="s">
        <v>506</v>
      </c>
      <c r="C23" t="s">
        <v>8</v>
      </c>
      <c r="D23" t="str">
        <f>HYPERLINK("https://www.procyclingstats.com/search.php?term=V.C.+SOMMESE","Cerca su PCS")</f>
        <v>Cerca su PCS</v>
      </c>
    </row>
    <row r="24" spans="1:4">
      <c r="A24" s="1">
        <v>46</v>
      </c>
      <c r="B24" t="s">
        <v>507</v>
      </c>
      <c r="C24" t="s">
        <v>8</v>
      </c>
      <c r="D24" t="str">
        <f>HYPERLINK("https://www.procyclingstats.com/search.php?term=GAZZANIGHESE+ASD","Cerca su PCS")</f>
        <v>Cerca su PCS</v>
      </c>
    </row>
    <row r="25" spans="1:4">
      <c r="A25" s="1">
        <v>47</v>
      </c>
      <c r="B25" t="s">
        <v>508</v>
      </c>
      <c r="C25" t="s">
        <v>8</v>
      </c>
      <c r="D25" t="str">
        <f>HYPERLINK("https://www.procyclingstats.com/search.php?term=A.S.D.+SACILESE","Cerca su PCS")</f>
        <v>Cerca su PCS</v>
      </c>
    </row>
    <row r="26" spans="1:4">
      <c r="A26" s="1">
        <v>48</v>
      </c>
      <c r="B26" t="s">
        <v>509</v>
      </c>
      <c r="C26" t="s">
        <v>8</v>
      </c>
      <c r="D26" t="str">
        <f>HYPERLINK("https://www.procyclingstats.com/search.php?term=ASD+VELOCE+CLUB+BORGO","Cerca su PCS")</f>
        <v>Cerca su PCS</v>
      </c>
    </row>
    <row r="27" spans="1:4">
      <c r="A27" s="1">
        <v>49</v>
      </c>
      <c r="B27" t="s">
        <v>510</v>
      </c>
      <c r="C27" t="s">
        <v>8</v>
      </c>
      <c r="D27" t="str">
        <f>HYPERLINK("https://www.procyclingstats.com/search.php?term=IND.+FORNITURE+MORO-C&amp;G+CAPITAL","Cerca su PCS")</f>
        <v>Cerca su PCS</v>
      </c>
    </row>
    <row r="28" spans="1:4">
      <c r="A28" s="1">
        <v>50</v>
      </c>
      <c r="B28" t="s">
        <v>511</v>
      </c>
      <c r="C28" t="s">
        <v>8</v>
      </c>
      <c r="D28" t="str">
        <f>HYPERLINK("https://www.procyclingstats.com/search.php?term=V.C.+BASSANO+1892","Cerca su PCS")</f>
        <v>Cerca su PCS</v>
      </c>
    </row>
    <row r="29" spans="1:4">
      <c r="A29" s="1">
        <v>51</v>
      </c>
      <c r="B29" t="s">
        <v>512</v>
      </c>
      <c r="C29" t="s">
        <v>8</v>
      </c>
      <c r="D29" t="str">
        <f>HYPERLINK("https://www.procyclingstats.com/search.php?term=C.S.+LIBERTAS+SCORZE'","Cerca su PCS")</f>
        <v>Cerca su PCS</v>
      </c>
    </row>
    <row r="30" spans="1:4">
      <c r="A30" s="1">
        <v>52</v>
      </c>
      <c r="B30" t="s">
        <v>513</v>
      </c>
      <c r="C30" t="s">
        <v>8</v>
      </c>
      <c r="D30" t="str">
        <f>HYPERLINK("https://www.procyclingstats.com/search.php?term=LIBERTAS+RAIFFEISEN+LAIVES+ASD","Cerca su PCS")</f>
        <v>Cerca su PCS</v>
      </c>
    </row>
    <row r="31" spans="1:4">
      <c r="A31" s="1">
        <v>53</v>
      </c>
      <c r="B31" t="s">
        <v>514</v>
      </c>
      <c r="C31" t="s">
        <v>8</v>
      </c>
      <c r="D31" t="str">
        <f>HYPERLINK("https://www.procyclingstats.com/search.php?term=ASD+TEAM+PETRUCCI","Cerca su PCS")</f>
        <v>Cerca su PCS</v>
      </c>
    </row>
    <row r="32" spans="1:4">
      <c r="A32" s="1">
        <v>54</v>
      </c>
      <c r="B32" t="s">
        <v>515</v>
      </c>
      <c r="C32" t="s">
        <v>8</v>
      </c>
      <c r="D32" t="str">
        <f>HYPERLINK("https://www.procyclingstats.com/search.php?term=C.C.+FORTI+E+VELOCI","Cerca su PCS")</f>
        <v>Cerca su PCS</v>
      </c>
    </row>
    <row r="33" spans="1:4">
      <c r="A33" s="1">
        <v>55</v>
      </c>
      <c r="B33" t="s">
        <v>516</v>
      </c>
      <c r="C33" t="s">
        <v>8</v>
      </c>
      <c r="D33" t="str">
        <f>HYPERLINK("https://www.procyclingstats.com/search.php?term=TEAM+SENAGHESE+GUERRINI","Cerca su PCS")</f>
        <v>Cerca su PCS</v>
      </c>
    </row>
    <row r="34" spans="1:4">
      <c r="A34" s="1">
        <v>56</v>
      </c>
      <c r="B34" t="s">
        <v>517</v>
      </c>
      <c r="C34" t="s">
        <v>8</v>
      </c>
      <c r="D34" t="str">
        <f>HYPERLINK("https://www.procyclingstats.com/search.php?term=ACS+A+PEDAL+FORWORD+-+ROMANIA","Cerca su PCS")</f>
        <v>Cerca su PCS</v>
      </c>
    </row>
    <row r="35" spans="1:4">
      <c r="A35" s="1">
        <v>57</v>
      </c>
      <c r="B35" t="s">
        <v>518</v>
      </c>
      <c r="C35" t="s">
        <v>8</v>
      </c>
      <c r="D35" t="str">
        <f>HYPERLINK("https://www.procyclingstats.com/search.php?term=MAZZANO+A.S.D.","Cerca su PCS")</f>
        <v>Cerca su PCS</v>
      </c>
    </row>
    <row r="36" spans="1:4">
      <c r="A36" s="1">
        <v>58</v>
      </c>
      <c r="B36" t="s">
        <v>519</v>
      </c>
      <c r="C36" t="s">
        <v>8</v>
      </c>
      <c r="D36" t="str">
        <f>HYPERLINK("https://www.procyclingstats.com/search.php?term=ETHICA+ZERO24+CYCLING+TEAM+ECOTEK","Cerca su PCS")</f>
        <v>Cerca su PCS</v>
      </c>
    </row>
    <row r="37" spans="1:4">
      <c r="A37" s="1">
        <v>59</v>
      </c>
      <c r="B37" t="s">
        <v>520</v>
      </c>
      <c r="C37" t="s">
        <v>8</v>
      </c>
      <c r="D37" t="str">
        <f>HYPERLINK("https://www.procyclingstats.com/search.php?term=S.C.RECANATI+MARINELLI+CANTARINI","Cerca su PCS")</f>
        <v>Cerca su PCS</v>
      </c>
    </row>
    <row r="38" spans="1:4">
      <c r="A38" s="1">
        <v>60</v>
      </c>
      <c r="B38" t="s">
        <v>521</v>
      </c>
      <c r="C38" t="s">
        <v>8</v>
      </c>
      <c r="D38" t="str">
        <f>HYPERLINK("https://www.procyclingstats.com/search.php?term=ASD+EFFETTO+CICLISMO+-+NOI+SPORT","Cerca su PCS")</f>
        <v>Cerca su PCS</v>
      </c>
    </row>
    <row r="39" spans="1:4">
      <c r="A39" s="1">
        <v>61</v>
      </c>
      <c r="B39" t="s">
        <v>522</v>
      </c>
      <c r="C39" t="s">
        <v>8</v>
      </c>
      <c r="D39" t="str">
        <f>HYPERLINK("https://www.procyclingstats.com/search.php?term=CYCLING+TEAM+NIAL+NIZZOLI+ALMO","Cerca su PCS")</f>
        <v>Cerca su PCS</v>
      </c>
    </row>
    <row r="40" spans="1:4">
      <c r="A40" s="1">
        <v>62</v>
      </c>
      <c r="B40" t="s">
        <v>523</v>
      </c>
      <c r="C40" t="s">
        <v>8</v>
      </c>
      <c r="D40" t="str">
        <f>HYPERLINK("https://www.procyclingstats.com/search.php?term=ASD+CICLOTOUR","Cerca su PCS")</f>
        <v>Cerca su PCS</v>
      </c>
    </row>
    <row r="41" spans="1:4">
      <c r="A41" s="1">
        <v>63</v>
      </c>
      <c r="B41" t="s">
        <v>524</v>
      </c>
      <c r="C41" t="s">
        <v>8</v>
      </c>
      <c r="D41" t="str">
        <f>HYPERLINK("https://www.procyclingstats.com/search.php?term=ASD+ROBUR+BARCELLONA","Cerca su PCS")</f>
        <v>Cerca su PCS</v>
      </c>
    </row>
    <row r="42" spans="1:4">
      <c r="A42" s="1">
        <v>64</v>
      </c>
      <c r="B42" t="s">
        <v>525</v>
      </c>
      <c r="C42" t="s">
        <v>8</v>
      </c>
      <c r="D42" t="str">
        <f>HYPERLINK("https://www.procyclingstats.com/search.php?term=MADONE-TEAM+BIKE+SICILIA","Cerca su PCS")</f>
        <v>Cerca su PCS</v>
      </c>
    </row>
    <row r="43" spans="1:4">
      <c r="A43" s="1">
        <v>65</v>
      </c>
      <c r="B43" t="s">
        <v>526</v>
      </c>
      <c r="C43" t="s">
        <v>8</v>
      </c>
      <c r="D43" t="str">
        <f>HYPERLINK("https://www.procyclingstats.com/search.php?term=S.S.D.+PEDALE+SANTANTONESE","Cerca su PCS")</f>
        <v>Cerca su PCS</v>
      </c>
    </row>
    <row r="44" spans="1:4">
      <c r="A44" s="1">
        <v>66</v>
      </c>
      <c r="B44" t="s">
        <v>527</v>
      </c>
      <c r="C44" t="s">
        <v>8</v>
      </c>
      <c r="D44" t="str">
        <f>HYPERLINK("https://www.procyclingstats.com/search.php?term=MULTICAR+GRUPPO+AMARU'","Cerca su PCS")</f>
        <v>Cerca su PCS</v>
      </c>
    </row>
    <row r="45" spans="1:4">
      <c r="A45" s="1">
        <v>67</v>
      </c>
      <c r="B45" t="s">
        <v>528</v>
      </c>
      <c r="C45" t="s">
        <v>8</v>
      </c>
      <c r="D45" t="str">
        <f>HYPERLINK("https://www.procyclingstats.com/search.php?term=CAMB!KE","Cerca su PCS")</f>
        <v>Cerca su PCS</v>
      </c>
    </row>
    <row r="46" spans="1:4">
      <c r="A46" s="1">
        <v>68</v>
      </c>
      <c r="B46" t="s">
        <v>529</v>
      </c>
      <c r="C46" t="s">
        <v>8</v>
      </c>
      <c r="D46" t="str">
        <f>HYPERLINK("https://www.procyclingstats.com/search.php?term=TEAM+CESARO-NERI-LUCCHINI","Cerca su PCS")</f>
        <v>Cerca su PCS</v>
      </c>
    </row>
    <row r="47" spans="1:4">
      <c r="A47" s="1">
        <v>69</v>
      </c>
      <c r="B47" t="s">
        <v>530</v>
      </c>
      <c r="C47" t="s">
        <v>8</v>
      </c>
      <c r="D47" t="str">
        <f>HYPERLINK("https://www.procyclingstats.com/search.php?term=TEAM+VALDINIEVOLE+A.S.D.","Cerca su PCS")</f>
        <v>Cerca su PCS</v>
      </c>
    </row>
    <row r="48" spans="1:4">
      <c r="A48" s="1">
        <v>70</v>
      </c>
      <c r="B48" t="s">
        <v>531</v>
      </c>
      <c r="C48" t="s">
        <v>8</v>
      </c>
      <c r="D48" t="str">
        <f>HYPERLINK("https://www.procyclingstats.com/search.php?term=SALUS+CICLISTICA+SEREGNO+DE+ROSA","Cerca su PCS")</f>
        <v>Cerca su PCS</v>
      </c>
    </row>
    <row r="49" spans="1:4">
      <c r="A49" s="1">
        <v>71</v>
      </c>
      <c r="B49" t="s">
        <v>532</v>
      </c>
      <c r="C49" t="s">
        <v>8</v>
      </c>
      <c r="D49" t="str">
        <f>HYPERLINK("https://www.procyclingstats.com/search.php?term=G.S.+IPERFINISH+STABBIA","Cerca su PCS")</f>
        <v>Cerca su PCS</v>
      </c>
    </row>
    <row r="50" spans="1:4">
      <c r="A50" s="1">
        <v>72</v>
      </c>
      <c r="B50" t="s">
        <v>533</v>
      </c>
      <c r="C50" t="s">
        <v>8</v>
      </c>
      <c r="D50" t="str">
        <f>HYPERLINK("https://www.procyclingstats.com/search.php?term=AC+F.+BESSI+CALENZANO+DONORATICO","Cerca su PCS")</f>
        <v>Cerca su PCS</v>
      </c>
    </row>
    <row r="51" spans="1:4">
      <c r="A51" s="1">
        <v>73</v>
      </c>
      <c r="B51" t="s">
        <v>534</v>
      </c>
      <c r="C51" t="s">
        <v>8</v>
      </c>
      <c r="D51" t="str">
        <f>HYPERLINK("https://www.procyclingstats.com/search.php?term=TEAM+PIU'SPORT","Cerca su PCS")</f>
        <v>Cerca su PCS</v>
      </c>
    </row>
    <row r="52" spans="1:4">
      <c r="A52" s="1">
        <v>74</v>
      </c>
      <c r="B52" t="s">
        <v>535</v>
      </c>
      <c r="C52" t="s">
        <v>8</v>
      </c>
      <c r="D52" t="str">
        <f>HYPERLINK("https://www.procyclingstats.com/search.php?term=PIESSE+CYCLING+TEAM","Cerca su PCS")</f>
        <v>Cerca su PCS</v>
      </c>
    </row>
    <row r="53" spans="1:4">
      <c r="A53" s="1">
        <v>75</v>
      </c>
      <c r="B53" t="s">
        <v>536</v>
      </c>
      <c r="C53" t="s">
        <v>8</v>
      </c>
      <c r="D53" t="str">
        <f>HYPERLINK("https://www.procyclingstats.com/search.php?term=GIUSFREDI","Cerca su PCS")</f>
        <v>Cerca su PCS</v>
      </c>
    </row>
    <row r="54" spans="1:4">
      <c r="A54" s="1">
        <v>76</v>
      </c>
      <c r="B54" t="s">
        <v>537</v>
      </c>
      <c r="C54" t="s">
        <v>8</v>
      </c>
      <c r="D54" t="str">
        <f>HYPERLINK("https://www.procyclingstats.com/search.php?term=U.C.+CITTA'+DI+CASTELLO+A.S.D.","Cerca su PCS")</f>
        <v>Cerca su PCS</v>
      </c>
    </row>
    <row r="55" spans="1:4">
      <c r="A55" s="1">
        <v>77</v>
      </c>
      <c r="B55" t="s">
        <v>538</v>
      </c>
      <c r="C55" t="s">
        <v>8</v>
      </c>
      <c r="D55" t="str">
        <f>HYPERLINK("https://www.procyclingstats.com/search.php?term=V.C.+PONTENURE+1957-VIGORPLANTT","Cerca su PCS")</f>
        <v>Cerca su PCS</v>
      </c>
    </row>
    <row r="56" spans="1:4">
      <c r="A56" s="1">
        <v>78</v>
      </c>
      <c r="B56" t="s">
        <v>539</v>
      </c>
      <c r="C56" t="s">
        <v>8</v>
      </c>
      <c r="D56" t="str">
        <f>HYPERLINK("https://www.procyclingstats.com/search.php?term=GS+ASPIRATORI+OTELLI+ALCHEM+CWC","Cerca su PCS")</f>
        <v>Cerca su PCS</v>
      </c>
    </row>
    <row r="57" spans="1:4">
      <c r="A57" s="1">
        <v>79</v>
      </c>
      <c r="B57" t="s">
        <v>540</v>
      </c>
      <c r="C57" t="s">
        <v>8</v>
      </c>
      <c r="D57" t="str">
        <f>HYPERLINK("https://www.procyclingstats.com/search.php?term=TEAM+CICLISTICO+PALETTI","Cerca su PCS")</f>
        <v>Cerca su PCS</v>
      </c>
    </row>
    <row r="58" spans="1:4">
      <c r="A58" s="1">
        <v>80</v>
      </c>
      <c r="B58" t="s">
        <v>541</v>
      </c>
      <c r="C58" t="s">
        <v>8</v>
      </c>
      <c r="D58" t="str">
        <f>HYPERLINK("https://www.procyclingstats.com/search.php?term=S.C.COTIGNOLESE","Cerca su PCS")</f>
        <v>Cerca su PCS</v>
      </c>
    </row>
    <row r="59" spans="1:4">
      <c r="A59" s="1">
        <v>81</v>
      </c>
      <c r="B59" t="s">
        <v>542</v>
      </c>
      <c r="C59" t="s">
        <v>8</v>
      </c>
      <c r="D59" t="str">
        <f>HYPERLINK("https://www.procyclingstats.com/search.php?term=A.S.D.+S.C.+CERETOLESE+1969","Cerca su PCS")</f>
        <v>Cerca su PCS</v>
      </c>
    </row>
    <row r="60" spans="1:4">
      <c r="A60" s="1">
        <v>82</v>
      </c>
      <c r="B60" t="s">
        <v>543</v>
      </c>
      <c r="C60" t="s">
        <v>8</v>
      </c>
      <c r="D60" t="str">
        <f>HYPERLINK("https://www.procyclingstats.com/search.php?term=U.S.+CALCARA","Cerca su PCS")</f>
        <v>Cerca su PCS</v>
      </c>
    </row>
    <row r="61" spans="1:4">
      <c r="A61" s="1">
        <v>83</v>
      </c>
      <c r="B61" t="s">
        <v>544</v>
      </c>
      <c r="C61" t="s">
        <v>8</v>
      </c>
      <c r="D61" t="str">
        <f>HYPERLINK("https://www.procyclingstats.com/search.php?term=ALBA+OROBIA+-+BIASSONO","Cerca su PCS")</f>
        <v>Cerca su PCS</v>
      </c>
    </row>
    <row r="62" spans="1:4">
      <c r="A62" s="1">
        <v>84</v>
      </c>
      <c r="B62" t="s">
        <v>545</v>
      </c>
      <c r="C62" t="s">
        <v>8</v>
      </c>
      <c r="D62" t="str">
        <f>HYPERLINK("https://www.procyclingstats.com/search.php?term=G.S.+ALZATE+BRIANZA+-+SYSTEM+CAR","Cerca su PCS")</f>
        <v>Cerca su PCS</v>
      </c>
    </row>
    <row r="63" spans="1:4">
      <c r="A63" s="1">
        <v>85</v>
      </c>
      <c r="B63" t="s">
        <v>546</v>
      </c>
      <c r="C63" t="s">
        <v>8</v>
      </c>
      <c r="D63" t="str">
        <f>HYPERLINK("https://www.procyclingstats.com/search.php?term=MADONNA+DI+CAMPAGNA","Cerca su PCS")</f>
        <v>Cerca su PCS</v>
      </c>
    </row>
    <row r="64" spans="1:4">
      <c r="A64" s="1">
        <v>86</v>
      </c>
      <c r="B64" t="s">
        <v>547</v>
      </c>
      <c r="C64" t="s">
        <v>8</v>
      </c>
      <c r="D64" t="str">
        <f>HYPERLINK("https://www.procyclingstats.com/search.php?term=PEDALE+OSSOLANO","Cerca su PCS")</f>
        <v>Cerca su PCS</v>
      </c>
    </row>
    <row r="65" spans="1:4">
      <c r="A65" s="1">
        <v>87</v>
      </c>
      <c r="B65" t="s">
        <v>548</v>
      </c>
      <c r="C65" t="s">
        <v>8</v>
      </c>
      <c r="D65" t="str">
        <f>HYPERLINK("https://www.procyclingstats.com/search.php?term=SANTA+CRUZ+TSA+BELTRAMI","Cerca su PCS")</f>
        <v>Cerca su PCS</v>
      </c>
    </row>
    <row r="66" spans="1:4">
      <c r="A66" s="1">
        <v>88</v>
      </c>
      <c r="B66" t="s">
        <v>549</v>
      </c>
      <c r="C66" t="s">
        <v>8</v>
      </c>
      <c r="D66" t="str">
        <f>HYPERLINK("https://www.procyclingstats.com/search.php?term=UC+EMPOLESE","Cerca su PCS")</f>
        <v>Cerca su PCS</v>
      </c>
    </row>
    <row r="67" spans="1:4">
      <c r="A67" s="1">
        <v>89</v>
      </c>
      <c r="B67" t="s">
        <v>550</v>
      </c>
      <c r="C67" t="s">
        <v>8</v>
      </c>
      <c r="D67" t="str">
        <f>HYPERLINK("https://www.procyclingstats.com/search.php?term=VELO+CLUB+S.C.+EMPOLI","Cerca su PCS")</f>
        <v>Cerca su PCS</v>
      </c>
    </row>
    <row r="68" spans="1:4">
      <c r="A68" s="1">
        <v>90</v>
      </c>
      <c r="B68" t="s">
        <v>551</v>
      </c>
      <c r="C68" t="s">
        <v>8</v>
      </c>
      <c r="D68" t="str">
        <f>HYPERLINK("https://www.procyclingstats.com/search.php?term=GS+BERTI+MOBILI+BENASSI","Cerca su PCS")</f>
        <v>Cerca su PCS</v>
      </c>
    </row>
    <row r="69" spans="1:4">
      <c r="A69" s="1">
        <v>91</v>
      </c>
      <c r="B69" t="s">
        <v>552</v>
      </c>
      <c r="C69" t="s">
        <v>8</v>
      </c>
      <c r="D69" t="str">
        <f>HYPERLINK("https://www.procyclingstats.com/search.php?term=CONTRABAND+CYCLING+TEAM+ASD","Cerca su PCS")</f>
        <v>Cerca su PCS</v>
      </c>
    </row>
    <row r="70" spans="1:4">
      <c r="A70" s="1">
        <v>92</v>
      </c>
      <c r="B70" t="s">
        <v>553</v>
      </c>
      <c r="C70" t="s">
        <v>8</v>
      </c>
      <c r="D70" t="str">
        <f>HYPERLINK("https://www.procyclingstats.com/search.php?term=CICLISTICA+BORDIGHERA","Cerca su PCS")</f>
        <v>Cerca su PCS</v>
      </c>
    </row>
    <row r="71" spans="1:4">
      <c r="A71" s="1">
        <v>93</v>
      </c>
      <c r="B71" t="s">
        <v>554</v>
      </c>
      <c r="C71" t="s">
        <v>8</v>
      </c>
      <c r="D71" t="str">
        <f>HYPERLINK("https://www.procyclingstats.com/search.php?term=UC+COLTANO+GRUBE+COSTRUZIONI","Cerca su PCS")</f>
        <v>Cerca su PCS</v>
      </c>
    </row>
    <row r="72" spans="1:4">
      <c r="A72" s="1">
        <v>94</v>
      </c>
      <c r="B72" t="s">
        <v>555</v>
      </c>
      <c r="C72" t="s">
        <v>8</v>
      </c>
      <c r="D72" t="str">
        <f>HYPERLINK("https://www.procyclingstats.com/search.php?term=UC+PIANO+DI+MOMMIO+-+SPEEDY+BIKE","Cerca su PCS")</f>
        <v>Cerca su PCS</v>
      </c>
    </row>
    <row r="73" spans="1:4">
      <c r="A73" s="1">
        <v>95</v>
      </c>
      <c r="B73" t="s">
        <v>556</v>
      </c>
      <c r="C73" t="s">
        <v>8</v>
      </c>
      <c r="D73" t="str">
        <f>HYPERLINK("https://www.procyclingstats.com/search.php?term=PEDALE+SARZANESE","Cerca su PCS")</f>
        <v>Cerca su PCS</v>
      </c>
    </row>
    <row r="74" spans="1:4">
      <c r="A74" s="1">
        <v>96</v>
      </c>
      <c r="B74" t="s">
        <v>557</v>
      </c>
      <c r="C74" t="s">
        <v>8</v>
      </c>
      <c r="D74" t="str">
        <f>HYPERLINK("https://www.procyclingstats.com/search.php?term=POL.+MILLELUCI+CICLISMO","Cerca su PCS")</f>
        <v>Cerca su PCS</v>
      </c>
    </row>
    <row r="75" spans="1:4">
      <c r="A75" s="1">
        <v>97</v>
      </c>
      <c r="B75" t="s">
        <v>558</v>
      </c>
      <c r="C75" t="s">
        <v>8</v>
      </c>
      <c r="D75" t="str">
        <f>HYPERLINK("https://www.procyclingstats.com/search.php?term=A.S.D.+GDS+TEAM+COMPETITION","Cerca su PCS")</f>
        <v>Cerca su PCS</v>
      </c>
    </row>
    <row r="76" spans="1:4">
      <c r="A76" s="1">
        <v>98</v>
      </c>
      <c r="B76" t="s">
        <v>559</v>
      </c>
      <c r="C76" t="s">
        <v>8</v>
      </c>
      <c r="D76" t="str">
        <f>HYPERLINK("https://www.procyclingstats.com/search.php?term=A.S.D.+PROBIKE+ERICE","Cerca su PCS")</f>
        <v>Cerca su PCS</v>
      </c>
    </row>
    <row r="77" spans="1:4">
      <c r="A77" s="1">
        <v>99</v>
      </c>
      <c r="B77" t="s">
        <v>560</v>
      </c>
      <c r="C77" t="s">
        <v>8</v>
      </c>
      <c r="D77" t="str">
        <f>HYPERLINK("https://www.procyclingstats.com/search.php?term=REVOLUTION+BIKE","Cerca su PCS")</f>
        <v>Cerca su PCS</v>
      </c>
    </row>
    <row r="78" spans="1:4">
      <c r="A78" s="1">
        <v>100</v>
      </c>
      <c r="B78" t="s">
        <v>561</v>
      </c>
      <c r="C78" t="s">
        <v>8</v>
      </c>
      <c r="D78" t="str">
        <f>HYPERLINK("https://www.procyclingstats.com/search.php?term=ASD+SICILY+BIKE+ACADEMY","Cerca su PCS")</f>
        <v>Cerca su PCS</v>
      </c>
    </row>
    <row r="79" spans="1:4">
      <c r="A79" s="1">
        <v>101</v>
      </c>
      <c r="B79" t="s">
        <v>562</v>
      </c>
      <c r="C79" t="s">
        <v>8</v>
      </c>
      <c r="D79" t="str">
        <f>HYPERLINK("https://www.procyclingstats.com/search.php?term=ASD+LPM+GROUP","Cerca su PCS")</f>
        <v>Cerca su PCS</v>
      </c>
    </row>
    <row r="80" spans="1:4">
      <c r="A80" s="1">
        <v>102</v>
      </c>
      <c r="B80" t="s">
        <v>563</v>
      </c>
      <c r="C80" t="s">
        <v>8</v>
      </c>
      <c r="D80" t="str">
        <f>HYPERLINK("https://www.procyclingstats.com/search.php?term=NONSOLOBIKE","Cerca su PCS")</f>
        <v>Cerca su PCS</v>
      </c>
    </row>
    <row r="81" spans="1:4">
      <c r="A81" s="1">
        <v>103</v>
      </c>
      <c r="B81" t="s">
        <v>564</v>
      </c>
      <c r="C81" t="s">
        <v>8</v>
      </c>
      <c r="D81" t="str">
        <f>HYPERLINK("https://www.procyclingstats.com/search.php?term=TEAM+NIBALI","Cerca su PCS")</f>
        <v>Cerca su PCS</v>
      </c>
    </row>
    <row r="82" spans="1:4">
      <c r="A82" s="1">
        <v>104</v>
      </c>
      <c r="B82" t="s">
        <v>565</v>
      </c>
      <c r="C82" t="s">
        <v>8</v>
      </c>
      <c r="D82" t="str">
        <f>HYPERLINK("https://www.procyclingstats.com/search.php?term=ARAN+CUCINE+VEJUS","Cerca su PCS")</f>
        <v>Cerca su PCS</v>
      </c>
    </row>
    <row r="83" spans="1:4">
      <c r="A83" s="1">
        <v>105</v>
      </c>
      <c r="B83" t="s">
        <v>566</v>
      </c>
      <c r="C83" t="s">
        <v>8</v>
      </c>
      <c r="D83" t="str">
        <f>HYPERLINK("https://www.procyclingstats.com/search.php?term=A.S.A.C.I.+-+EVONACICLI","Cerca su PCS")</f>
        <v>Cerca su PCS</v>
      </c>
    </row>
    <row r="84" spans="1:4">
      <c r="A84" s="1">
        <v>106</v>
      </c>
      <c r="B84" t="s">
        <v>567</v>
      </c>
      <c r="C84" t="s">
        <v>8</v>
      </c>
      <c r="D84" t="str">
        <f>HYPERLINK("https://www.procyclingstats.com/search.php?term=A.S.D.+AMICISUPERSKI","Cerca su PCS")</f>
        <v>Cerca su PCS</v>
      </c>
    </row>
    <row r="85" spans="1:4">
      <c r="A85" s="1">
        <v>107</v>
      </c>
      <c r="B85" t="s">
        <v>568</v>
      </c>
      <c r="C85" t="s">
        <v>8</v>
      </c>
      <c r="D85" t="str">
        <f>HYPERLINK("https://www.procyclingstats.com/search.php?term=V.C.+LUGANO","Cerca su PCS")</f>
        <v>Cerca su PCS</v>
      </c>
    </row>
    <row r="86" spans="1:4">
      <c r="A86" s="1">
        <v>108</v>
      </c>
      <c r="B86" t="s">
        <v>569</v>
      </c>
      <c r="C86" t="s">
        <v>8</v>
      </c>
      <c r="D86" t="str">
        <f>HYPERLINK("https://www.procyclingstats.com/search.php?term=IL+PIRATA+SAMA+RICAMBI+OTC","Cerca su PCS")</f>
        <v>Cerca su PCS</v>
      </c>
    </row>
    <row r="87" spans="1:4">
      <c r="A87" s="1">
        <v>109</v>
      </c>
      <c r="B87" t="s">
        <v>570</v>
      </c>
      <c r="C87" t="s">
        <v>8</v>
      </c>
      <c r="D87" t="str">
        <f>HYPERLINK("https://www.procyclingstats.com/search.php?term=TEAM+GIUNIGOR+-+B.BIKE","Cerca su PCS")</f>
        <v>Cerca su PCS</v>
      </c>
    </row>
    <row r="88" spans="1:4">
      <c r="A88" s="1">
        <v>110</v>
      </c>
      <c r="B88" t="s">
        <v>571</v>
      </c>
      <c r="C88" t="s">
        <v>8</v>
      </c>
      <c r="D88" t="str">
        <f>HYPERLINK("https://www.procyclingstats.com/search.php?term=FREE+BIKE+LT+-+LOGISTICA+AMBIENTALE","Cerca su PCS")</f>
        <v>Cerca su PCS</v>
      </c>
    </row>
    <row r="89" spans="1:4">
      <c r="A89" s="1">
        <v>111</v>
      </c>
      <c r="B89" t="s">
        <v>572</v>
      </c>
      <c r="C89" t="s">
        <v>8</v>
      </c>
      <c r="D89" t="str">
        <f>HYPERLINK("https://www.procyclingstats.com/search.php?term=C.C.+APPENNINICO+1907","Cerca su PCS")</f>
        <v>Cerca su PCS</v>
      </c>
    </row>
    <row r="90" spans="1:4">
      <c r="A90" s="1">
        <v>112</v>
      </c>
      <c r="B90" t="s">
        <v>573</v>
      </c>
      <c r="C90" t="s">
        <v>8</v>
      </c>
      <c r="D90" t="str">
        <f>HYPERLINK("https://www.procyclingstats.com/search.php?term=A.S.D.+SPORTEVEN+CYCLING+GROUP","Cerca su PCS")</f>
        <v>Cerca su PCS</v>
      </c>
    </row>
    <row r="91" spans="1:4">
      <c r="A91" s="1">
        <v>113</v>
      </c>
      <c r="B91" t="s">
        <v>574</v>
      </c>
      <c r="C91" t="s">
        <v>8</v>
      </c>
      <c r="D91" t="str">
        <f>HYPERLINK("https://www.procyclingstats.com/search.php?term=VC+SAN+VENDEMIANO","Cerca su PCS")</f>
        <v>Cerca su PCS</v>
      </c>
    </row>
    <row r="92" spans="1:4">
      <c r="A92" s="1">
        <v>114</v>
      </c>
      <c r="B92" t="s">
        <v>575</v>
      </c>
      <c r="C92" t="s">
        <v>8</v>
      </c>
      <c r="D92" t="str">
        <f>HYPERLINK("https://www.procyclingstats.com/search.php?term=S.C.+CAVRIAGO","Cerca su PCS")</f>
        <v>Cerca su PCS</v>
      </c>
    </row>
    <row r="93" spans="1:4">
      <c r="A93" s="1">
        <v>115</v>
      </c>
      <c r="B93" t="s">
        <v>576</v>
      </c>
      <c r="C93" t="s">
        <v>8</v>
      </c>
      <c r="D93" t="str">
        <f>HYPERLINK("https://www.procyclingstats.com/search.php?term=PEDALE+RIMINESE+FRECCE+ROSSE","Cerca su PCS")</f>
        <v>Cerca su PCS</v>
      </c>
    </row>
    <row r="94" spans="1:4">
      <c r="A94" s="1">
        <v>116</v>
      </c>
      <c r="B94" t="s">
        <v>577</v>
      </c>
      <c r="C94" t="s">
        <v>8</v>
      </c>
      <c r="D94" t="str">
        <f>HYPERLINK("https://www.procyclingstats.com/search.php?term=A.S.D.+CICLISTICA+2000","Cerca su PCS")</f>
        <v>Cerca su PCS</v>
      </c>
    </row>
    <row r="95" spans="1:4">
      <c r="A95" s="1">
        <v>117</v>
      </c>
      <c r="B95" t="s">
        <v>578</v>
      </c>
      <c r="C95" t="s">
        <v>8</v>
      </c>
      <c r="D95" t="str">
        <f>HYPERLINK("https://www.procyclingstats.com/search.php?term=ASD+G.+C.+FAUSTO+COPPI","Cerca su PCS")</f>
        <v>Cerca su PCS</v>
      </c>
    </row>
    <row r="96" spans="1:4">
      <c r="A96" s="1">
        <v>118</v>
      </c>
      <c r="B96" t="s">
        <v>579</v>
      </c>
      <c r="C96" t="s">
        <v>8</v>
      </c>
      <c r="D96" t="str">
        <f>HYPERLINK("https://www.procyclingstats.com/search.php?term=VC+CREMONESE","Cerca su PCS")</f>
        <v>Cerca su PCS</v>
      </c>
    </row>
    <row r="97" spans="1:4">
      <c r="A97" s="1">
        <v>119</v>
      </c>
      <c r="B97" t="s">
        <v>580</v>
      </c>
      <c r="C97" t="s">
        <v>8</v>
      </c>
      <c r="D97" t="str">
        <f>HYPERLINK("https://www.procyclingstats.com/search.php?term=ASS.+CICLISTICA+RECANATI","Cerca su PCS")</f>
        <v>Cerca su PCS</v>
      </c>
    </row>
    <row r="98" spans="1:4">
      <c r="A98" s="1">
        <v>120</v>
      </c>
      <c r="B98" t="s">
        <v>581</v>
      </c>
      <c r="C98" t="s">
        <v>8</v>
      </c>
      <c r="D98" t="str">
        <f>HYPERLINK("https://www.procyclingstats.com/search.php?term=U.C.PESSANO+A.S.D.","Cerca su PCS")</f>
        <v>Cerca su PCS</v>
      </c>
    </row>
    <row r="99" spans="1:4">
      <c r="A99" s="1">
        <v>121</v>
      </c>
      <c r="B99" t="s">
        <v>582</v>
      </c>
      <c r="C99" t="s">
        <v>8</v>
      </c>
      <c r="D99" t="str">
        <f>HYPERLINK("https://www.procyclingstats.com/search.php?term=POL.+MOLINELLO","Cerca su PCS")</f>
        <v>Cerca su PCS</v>
      </c>
    </row>
    <row r="100" spans="1:4">
      <c r="A100" s="1">
        <v>122</v>
      </c>
      <c r="B100" t="s">
        <v>583</v>
      </c>
      <c r="C100" t="s">
        <v>8</v>
      </c>
      <c r="D100" t="str">
        <f>HYPERLINK("https://www.procyclingstats.com/search.php?term=G.S.+PREALPINO+A.S.D.","Cerca su PCS")</f>
        <v>Cerca su PCS</v>
      </c>
    </row>
    <row r="101" spans="1:4">
      <c r="A101" s="1">
        <v>123</v>
      </c>
      <c r="B101" t="s">
        <v>584</v>
      </c>
      <c r="C101" t="s">
        <v>8</v>
      </c>
      <c r="D101" t="str">
        <f>HYPERLINK("https://www.procyclingstats.com/search.php?term=OXYGEN+EBIKE+STORE+BRESCIA","Cerca su PCS")</f>
        <v>Cerca su PCS</v>
      </c>
    </row>
    <row r="102" spans="1:4">
      <c r="A102" s="1">
        <v>124</v>
      </c>
      <c r="B102" t="s">
        <v>585</v>
      </c>
      <c r="C102" t="s">
        <v>8</v>
      </c>
      <c r="D102" t="str">
        <f>HYPERLINK("https://www.procyclingstats.com/search.php?term=UC+COSTAMASNAGA+ASD","Cerca su PCS")</f>
        <v>Cerca su PCS</v>
      </c>
    </row>
    <row r="103" spans="1:4">
      <c r="A103" s="1">
        <v>125</v>
      </c>
      <c r="B103" t="s">
        <v>586</v>
      </c>
      <c r="C103" t="s">
        <v>8</v>
      </c>
      <c r="D103" t="str">
        <f>HYPERLINK("https://www.procyclingstats.com/search.php?term=S.C.+BRUGHERIO+SPORTIVA+ASD","Cerca su PCS")</f>
        <v>Cerca su PCS</v>
      </c>
    </row>
    <row r="104" spans="1:4">
      <c r="A104" s="1">
        <v>126</v>
      </c>
      <c r="B104" t="s">
        <v>587</v>
      </c>
      <c r="C104" t="s">
        <v>8</v>
      </c>
      <c r="D104" t="str">
        <f>HYPERLINK("https://www.procyclingstats.com/search.php?term=CRAZY+WHEELS+-+CYCLING+ACADEMY","Cerca su PCS")</f>
        <v>Cerca su PCS</v>
      </c>
    </row>
    <row r="105" spans="1:4">
      <c r="A105" s="1">
        <v>127</v>
      </c>
      <c r="B105" t="s">
        <v>588</v>
      </c>
      <c r="C105" t="s">
        <v>8</v>
      </c>
      <c r="D105" t="str">
        <f>HYPERLINK("https://www.procyclingstats.com/search.php?term=S.C.+TERRANOVA+FANCELLO+CICLI","Cerca su PCS")</f>
        <v>Cerca su PCS</v>
      </c>
    </row>
    <row r="106" spans="1:4">
      <c r="A106" s="1">
        <v>128</v>
      </c>
      <c r="B106" t="s">
        <v>589</v>
      </c>
      <c r="C106" t="s">
        <v>8</v>
      </c>
      <c r="D106" t="str">
        <f>HYPERLINK("https://www.procyclingstats.com/search.php?term=POOL+BIKE+SERRAMANNA","Cerca su PCS")</f>
        <v>Cerca su PCS</v>
      </c>
    </row>
    <row r="107" spans="1:4">
      <c r="A107" s="1">
        <v>129</v>
      </c>
      <c r="B107" t="s">
        <v>590</v>
      </c>
      <c r="C107" t="s">
        <v>8</v>
      </c>
      <c r="D107" t="str">
        <f>HYPERLINK("https://www.procyclingstats.com/search.php?term=S.C.+OZIERESE","Cerca su PCS")</f>
        <v>Cerca su PCS</v>
      </c>
    </row>
    <row r="108" spans="1:4">
      <c r="A108" s="1">
        <v>130</v>
      </c>
      <c r="B108" t="s">
        <v>591</v>
      </c>
      <c r="C108" t="s">
        <v>8</v>
      </c>
      <c r="D108" t="str">
        <f>HYPERLINK("https://www.procyclingstats.com/search.php?term=S.C.+PATTADA","Cerca su PCS")</f>
        <v>Cerca su PCS</v>
      </c>
    </row>
    <row r="109" spans="1:4">
      <c r="A109" s="1">
        <v>131</v>
      </c>
      <c r="B109" t="s">
        <v>592</v>
      </c>
      <c r="C109" t="s">
        <v>8</v>
      </c>
      <c r="D109" t="str">
        <f>HYPERLINK("https://www.procyclingstats.com/search.php?term=SAMABIKE","Cerca su PCS")</f>
        <v>Cerca su PCS</v>
      </c>
    </row>
    <row r="110" spans="1:4">
      <c r="A110" s="1">
        <v>132</v>
      </c>
      <c r="B110" t="s">
        <v>593</v>
      </c>
      <c r="C110" t="s">
        <v>8</v>
      </c>
      <c r="D110" t="str">
        <f>HYPERLINK("https://www.procyclingstats.com/search.php?term=DUEPPI+CYCLING+PROJECT","Cerca su PCS")</f>
        <v>Cerca su PCS</v>
      </c>
    </row>
    <row r="111" spans="1:4">
      <c r="A111" s="1">
        <v>133</v>
      </c>
      <c r="B111" t="s">
        <v>594</v>
      </c>
      <c r="C111" t="s">
        <v>8</v>
      </c>
    </row>
    <row r="112" spans="1:4">
      <c r="A112" s="1">
        <v>134</v>
      </c>
      <c r="B112" t="s">
        <v>595</v>
      </c>
      <c r="C112" t="s">
        <v>8</v>
      </c>
      <c r="D112" t="str">
        <f>HYPERLINK("https://www.procyclingstats.com/search.php?term=SESTU+BIKE+A.S.D.","Cerca su PCS")</f>
        <v>Cerca su PCS</v>
      </c>
    </row>
    <row r="113" spans="1:4">
      <c r="A113" s="1">
        <v>135</v>
      </c>
      <c r="B113" t="s">
        <v>596</v>
      </c>
      <c r="C113" t="s">
        <v>8</v>
      </c>
      <c r="D113" t="str">
        <f>HYPERLINK("https://www.procyclingstats.com/search.php?term=ALGHERO+BIKE+A.S.D.","Cerca su PCS")</f>
        <v>Cerca su PCS</v>
      </c>
    </row>
    <row r="114" spans="1:4">
      <c r="A114" s="1">
        <v>136</v>
      </c>
      <c r="B114" t="s">
        <v>597</v>
      </c>
      <c r="C114" t="s">
        <v>8</v>
      </c>
      <c r="D114" t="str">
        <f>HYPERLINK("https://www.procyclingstats.com/search.php?term=S.C.+MONTEPONI+A.S.D.","Cerca su PCS")</f>
        <v>Cerca su PCS</v>
      </c>
    </row>
    <row r="115" spans="1:4">
      <c r="A115" s="1">
        <v>137</v>
      </c>
      <c r="B115" t="s">
        <v>598</v>
      </c>
      <c r="C115" t="s">
        <v>8</v>
      </c>
      <c r="D115" t="str">
        <f>HYPERLINK("https://www.procyclingstats.com/search.php?term=U.S.+FORTI+E+LIBERI+-+ZANETTI+CICLI","Cerca su PCS")</f>
        <v>Cerca su PCS</v>
      </c>
    </row>
    <row r="116" spans="1:4">
      <c r="A116" s="1">
        <v>138</v>
      </c>
      <c r="B116" t="s">
        <v>599</v>
      </c>
      <c r="C116" t="s">
        <v>8</v>
      </c>
      <c r="D116" t="str">
        <f>HYPERLINK("https://www.procyclingstats.com/search.php?term=G.S.+TAVO+BONIN+BIKE","Cerca su PCS")</f>
        <v>Cerca su PCS</v>
      </c>
    </row>
    <row r="117" spans="1:4">
      <c r="A117" s="1">
        <v>139</v>
      </c>
      <c r="B117" t="s">
        <v>600</v>
      </c>
      <c r="C117" t="s">
        <v>8</v>
      </c>
      <c r="D117" t="str">
        <f>HYPERLINK("https://www.procyclingstats.com/search.php?term=MST+CYCLING+-+SANDRIGO+BIKE","Cerca su PCS")</f>
        <v>Cerca su PCS</v>
      </c>
    </row>
    <row r="118" spans="1:4">
      <c r="A118" s="1">
        <v>140</v>
      </c>
      <c r="B118" t="s">
        <v>601</v>
      </c>
      <c r="C118" t="s">
        <v>8</v>
      </c>
      <c r="D118" t="str">
        <f>HYPERLINK("https://www.procyclingstats.com/search.php?term=UC+GODIGESE+ABRA+IRIDE","Cerca su PCS")</f>
        <v>Cerca su PCS</v>
      </c>
    </row>
    <row r="119" spans="1:4">
      <c r="A119" s="1">
        <v>141</v>
      </c>
      <c r="B119" t="s">
        <v>602</v>
      </c>
      <c r="C119" t="s">
        <v>8</v>
      </c>
      <c r="D119" t="str">
        <f>HYPERLINK("https://www.procyclingstats.com/search.php?term=UNIONE+CICLISTICA+MIRANO","Cerca su PCS")</f>
        <v>Cerca su PCS</v>
      </c>
    </row>
    <row r="120" spans="1:4">
      <c r="A120" s="1">
        <v>142</v>
      </c>
      <c r="B120" t="s">
        <v>603</v>
      </c>
      <c r="C120" t="s">
        <v>8</v>
      </c>
      <c r="D120" t="str">
        <f>HYPERLINK("https://www.procyclingstats.com/search.php?term=VELO+JUNIOR+NOVE","Cerca su PCS")</f>
        <v>Cerca su PCS</v>
      </c>
    </row>
    <row r="121" spans="1:4">
      <c r="A121" s="1">
        <v>143</v>
      </c>
      <c r="B121" t="s">
        <v>604</v>
      </c>
      <c r="C121" t="s">
        <v>8</v>
      </c>
      <c r="D121" t="str">
        <f>HYPERLINK("https://www.procyclingstats.com/search.php?term=U.C.S.+OTTAVIO+ZULIANI+A.S.D.","Cerca su PCS")</f>
        <v>Cerca su PCS</v>
      </c>
    </row>
    <row r="122" spans="1:4">
      <c r="A122" s="1">
        <v>144</v>
      </c>
      <c r="B122" t="s">
        <v>605</v>
      </c>
      <c r="C122" t="s">
        <v>8</v>
      </c>
      <c r="D122" t="str">
        <f>HYPERLINK("https://www.procyclingstats.com/search.php?term=TEAM+BOSCO+DI+ORSAGO","Cerca su PCS")</f>
        <v>Cerca su PCS</v>
      </c>
    </row>
    <row r="123" spans="1:4">
      <c r="A123" s="1">
        <v>145</v>
      </c>
      <c r="B123" t="s">
        <v>606</v>
      </c>
      <c r="C123" t="s">
        <v>8</v>
      </c>
      <c r="D123" t="str">
        <f>HYPERLINK("https://www.procyclingstats.com/search.php?term=G.C.POSTIOMA","Cerca su PCS")</f>
        <v>Cerca su PCS</v>
      </c>
    </row>
    <row r="124" spans="1:4">
      <c r="A124" s="1">
        <v>146</v>
      </c>
      <c r="B124" t="s">
        <v>607</v>
      </c>
      <c r="C124" t="s">
        <v>8</v>
      </c>
      <c r="D124" t="str">
        <f>HYPERLINK("https://www.procyclingstats.com/search.php?term=V+CYCLING+-+ARICI+CLAUDIA+-+PITON","Cerca su PCS")</f>
        <v>Cerca su PCS</v>
      </c>
    </row>
    <row r="125" spans="1:4">
      <c r="A125" s="1">
        <v>147</v>
      </c>
      <c r="B125" t="s">
        <v>608</v>
      </c>
      <c r="C125" t="s">
        <v>8</v>
      </c>
      <c r="D125" t="str">
        <f>HYPERLINK("https://www.procyclingstats.com/search.php?term=G.S.+RONCO+MAURIGI+DELIO+GALLINA","Cerca su PCS")</f>
        <v>Cerca su PCS</v>
      </c>
    </row>
    <row r="126" spans="1:4">
      <c r="A126" s="1">
        <v>148</v>
      </c>
      <c r="B126" t="s">
        <v>609</v>
      </c>
      <c r="C126" t="s">
        <v>8</v>
      </c>
      <c r="D126" t="str">
        <f>HYPERLINK("https://www.procyclingstats.com/search.php?term=FERALPI+MONTECLARENSE+ASD","Cerca su PCS")</f>
        <v>Cerca su PCS</v>
      </c>
    </row>
    <row r="127" spans="1:4">
      <c r="A127" s="1">
        <v>149</v>
      </c>
      <c r="B127" t="s">
        <v>610</v>
      </c>
      <c r="C127" t="s">
        <v>8</v>
      </c>
      <c r="D127" t="str">
        <f>HYPERLINK("https://www.procyclingstats.com/search.php?term=A.S.D.+PEDALE+CASTELLANO","Cerca su PCS")</f>
        <v>Cerca su PCS</v>
      </c>
    </row>
    <row r="128" spans="1:4">
      <c r="A128" s="1">
        <v>150</v>
      </c>
      <c r="B128" t="s">
        <v>611</v>
      </c>
      <c r="C128" t="s">
        <v>8</v>
      </c>
      <c r="D128" t="str">
        <f>HYPERLINK("https://www.procyclingstats.com/search.php?term=VANOTTI+CYCLE+TEAM","Cerca su PCS")</f>
        <v>Cerca su PCS</v>
      </c>
    </row>
    <row r="129" spans="1:4">
      <c r="A129" s="1">
        <v>151</v>
      </c>
      <c r="B129" t="s">
        <v>612</v>
      </c>
      <c r="C129" t="s">
        <v>8</v>
      </c>
      <c r="D129" t="str">
        <f>HYPERLINK("https://www.procyclingstats.com/search.php?term=SAN+GEO+A.S.D.","Cerca su PCS")</f>
        <v>Cerca su PCS</v>
      </c>
    </row>
    <row r="130" spans="1:4">
      <c r="A130" s="1">
        <v>152</v>
      </c>
      <c r="B130" t="s">
        <v>613</v>
      </c>
      <c r="C130" t="s">
        <v>8</v>
      </c>
      <c r="D130" t="str">
        <f>HYPERLINK("https://www.procyclingstats.com/search.php?term=WSV+DE+PEDDELAARS","Cerca su PCS")</f>
        <v>Cerca su PCS</v>
      </c>
    </row>
    <row r="131" spans="1:4">
      <c r="A131" s="1">
        <v>153</v>
      </c>
      <c r="B131" t="s">
        <v>614</v>
      </c>
      <c r="C131" t="s">
        <v>8</v>
      </c>
      <c r="D131" t="str">
        <f>HYPERLINK("https://www.procyclingstats.com/search.php?term=GHEDI+CICLISMO+ASD+-+BIESSE+CARRERA","Cerca su PCS")</f>
        <v>Cerca su PCS</v>
      </c>
    </row>
    <row r="132" spans="1:4">
      <c r="A132" s="1">
        <v>154</v>
      </c>
      <c r="B132" t="s">
        <v>615</v>
      </c>
      <c r="C132" t="s">
        <v>8</v>
      </c>
      <c r="D132" t="str">
        <f>HYPERLINK("https://www.procyclingstats.com/search.php?term=TEAM+TECHNIPES+#INEMILIAROMAGNA","Cerca su PCS")</f>
        <v>Cerca su PCS</v>
      </c>
    </row>
    <row r="133" spans="1:4">
      <c r="A133" s="1">
        <v>155</v>
      </c>
      <c r="B133" t="s">
        <v>616</v>
      </c>
      <c r="C133" t="s">
        <v>8</v>
      </c>
      <c r="D133" t="str">
        <f>HYPERLINK("https://www.procyclingstats.com/search.php?term=GALLINA+LUCCHINI+ECOTEK","Cerca su PCS")</f>
        <v>Cerca su PCS</v>
      </c>
    </row>
    <row r="134" spans="1:4">
      <c r="A134" s="1">
        <v>156</v>
      </c>
      <c r="B134" t="s">
        <v>617</v>
      </c>
      <c r="C134" t="s">
        <v>8</v>
      </c>
      <c r="D134" t="str">
        <f>HYPERLINK("https://www.procyclingstats.com/search.php?term=VELO+CLUB+CATTOLICA","Cerca su PCS")</f>
        <v>Cerca su PCS</v>
      </c>
    </row>
    <row r="135" spans="1:4">
      <c r="A135" s="1">
        <v>157</v>
      </c>
      <c r="B135" t="s">
        <v>618</v>
      </c>
      <c r="C135" t="s">
        <v>8</v>
      </c>
      <c r="D135" t="str">
        <f>HYPERLINK("https://www.procyclingstats.com/search.php?term=ARDENS+CYCLING+TEAM","Cerca su PCS")</f>
        <v>Cerca su PCS</v>
      </c>
    </row>
    <row r="136" spans="1:4">
      <c r="A136" s="1">
        <v>158</v>
      </c>
      <c r="B136" t="s">
        <v>619</v>
      </c>
      <c r="C136" t="s">
        <v>8</v>
      </c>
      <c r="D136" t="str">
        <f>HYPERLINK("https://www.procyclingstats.com/search.php?term=S.+C.+MINCIO-CHIESE+A.S.D","Cerca su PCS")</f>
        <v>Cerca su PCS</v>
      </c>
    </row>
    <row r="137" spans="1:4">
      <c r="A137" s="1">
        <v>159</v>
      </c>
      <c r="B137" t="s">
        <v>620</v>
      </c>
      <c r="C137" t="s">
        <v>8</v>
      </c>
      <c r="D137" t="str">
        <f>HYPERLINK("https://www.procyclingstats.com/search.php?term=A.S.D.+GIOCA+IN+BICI+OGLIO+PO","Cerca su PCS")</f>
        <v>Cerca su PCS</v>
      </c>
    </row>
    <row r="138" spans="1:4">
      <c r="A138" s="1">
        <v>160</v>
      </c>
      <c r="B138" t="s">
        <v>621</v>
      </c>
      <c r="C138" t="s">
        <v>8</v>
      </c>
      <c r="D138" t="str">
        <f>HYPERLINK("https://www.procyclingstats.com/search.php?term=S.C.D.ALMA+JUVENTUS+FANO","Cerca su PCS")</f>
        <v>Cerca su PCS</v>
      </c>
    </row>
    <row r="139" spans="1:4">
      <c r="A139" s="1">
        <v>161</v>
      </c>
      <c r="B139" t="s">
        <v>622</v>
      </c>
      <c r="C139" t="s">
        <v>8</v>
      </c>
      <c r="D139" t="str">
        <f>HYPERLINK("https://www.procyclingstats.com/search.php?term=S.C.+TORRILE+PR","Cerca su PCS")</f>
        <v>Cerca su PCS</v>
      </c>
    </row>
    <row r="140" spans="1:4">
      <c r="A140" s="1">
        <v>162</v>
      </c>
      <c r="B140" t="s">
        <v>623</v>
      </c>
      <c r="C140" t="s">
        <v>8</v>
      </c>
      <c r="D140" t="str">
        <f>HYPERLINK("https://www.procyclingstats.com/search.php?term=S.C.+PIACENZA+A.S.D.","Cerca su PCS")</f>
        <v>Cerca su PCS</v>
      </c>
    </row>
    <row r="141" spans="1:4">
      <c r="A141" s="1">
        <v>163</v>
      </c>
      <c r="B141" t="s">
        <v>624</v>
      </c>
      <c r="C141" t="s">
        <v>8</v>
      </c>
      <c r="D141" t="str">
        <f>HYPERLINK("https://www.procyclingstats.com/search.php?term=VIGOR+-+CYCLING+TEAM","Cerca su PCS")</f>
        <v>Cerca su PCS</v>
      </c>
    </row>
    <row r="142" spans="1:4">
      <c r="A142" s="1">
        <v>164</v>
      </c>
      <c r="B142" t="s">
        <v>625</v>
      </c>
      <c r="C142" t="s">
        <v>8</v>
      </c>
      <c r="D142" t="str">
        <f>HYPERLINK("https://www.procyclingstats.com/search.php?term=TEAM+SERIO","Cerca su PCS")</f>
        <v>Cerca su PCS</v>
      </c>
    </row>
    <row r="143" spans="1:4">
      <c r="A143" s="1">
        <v>165</v>
      </c>
      <c r="B143" t="s">
        <v>626</v>
      </c>
      <c r="C143" t="s">
        <v>8</v>
      </c>
      <c r="D143" t="str">
        <f>HYPERLINK("https://www.procyclingstats.com/search.php?term=U.S.+PEDALE+ARCORESE+ASD","Cerca su PCS")</f>
        <v>Cerca su PCS</v>
      </c>
    </row>
    <row r="144" spans="1:4">
      <c r="A144" s="1">
        <v>166</v>
      </c>
      <c r="B144" t="s">
        <v>627</v>
      </c>
      <c r="C144" t="s">
        <v>8</v>
      </c>
      <c r="D144" t="str">
        <f>HYPERLINK("https://www.procyclingstats.com/search.php?term=CICLISTICA+OMNIA+IMOLA","Cerca su PCS")</f>
        <v>Cerca su PCS</v>
      </c>
    </row>
    <row r="145" spans="1:4">
      <c r="A145" s="1">
        <v>167</v>
      </c>
      <c r="B145" t="s">
        <v>628</v>
      </c>
      <c r="C145" t="s">
        <v>8</v>
      </c>
      <c r="D145" t="str">
        <f>HYPERLINK("https://www.procyclingstats.com/search.php?term=TOYOTA+VALENCIA+SAV","Cerca su PCS")</f>
        <v>Cerca su PCS</v>
      </c>
    </row>
    <row r="146" spans="1:4">
      <c r="A146" s="1">
        <v>168</v>
      </c>
      <c r="B146" t="s">
        <v>629</v>
      </c>
      <c r="C146" t="s">
        <v>8</v>
      </c>
      <c r="D146" t="str">
        <f>HYPERLINK("https://www.procyclingstats.com/search.php?term=HORIZONS+CYCLING+CLUB","Cerca su PCS")</f>
        <v>Cerca su PCS</v>
      </c>
    </row>
    <row r="147" spans="1:4">
      <c r="A147" s="1">
        <v>169</v>
      </c>
      <c r="B147" t="s">
        <v>630</v>
      </c>
      <c r="C147" t="s">
        <v>8</v>
      </c>
      <c r="D147" t="str">
        <f>HYPERLINK("https://www.procyclingstats.com/search.php?term=LOMBARDIA","Cerca su PCS")</f>
        <v>Cerca su PCS</v>
      </c>
    </row>
    <row r="148" spans="1:4">
      <c r="A148" s="1">
        <v>170</v>
      </c>
      <c r="B148" t="s">
        <v>631</v>
      </c>
      <c r="C148" t="s">
        <v>8</v>
      </c>
      <c r="D148" t="str">
        <f>HYPERLINK("https://www.procyclingstats.com/search.php?term=VENETO","Cerca su PCS")</f>
        <v>Cerca su PCS</v>
      </c>
    </row>
    <row r="149" spans="1:4">
      <c r="A149" s="1">
        <v>171</v>
      </c>
      <c r="B149" t="s">
        <v>632</v>
      </c>
      <c r="C149" t="s">
        <v>8</v>
      </c>
      <c r="D149" t="str">
        <f>HYPERLINK("https://www.procyclingstats.com/search.php?term=TRENTO","Cerca su PCS")</f>
        <v>Cerca su PCS</v>
      </c>
    </row>
    <row r="150" spans="1:4">
      <c r="A150" s="1">
        <v>172</v>
      </c>
      <c r="B150" t="s">
        <v>633</v>
      </c>
      <c r="C150" t="s">
        <v>8</v>
      </c>
      <c r="D150" t="str">
        <f>HYPERLINK("https://www.procyclingstats.com/search.php?term=FRIULI+VENEZIA+GIULIA","Cerca su PCS")</f>
        <v>Cerca su PCS</v>
      </c>
    </row>
    <row r="151" spans="1:4">
      <c r="A151" s="1">
        <v>173</v>
      </c>
      <c r="B151" t="s">
        <v>634</v>
      </c>
      <c r="C151" t="s">
        <v>8</v>
      </c>
      <c r="D151" t="str">
        <f>HYPERLINK("https://www.procyclingstats.com/search.php?term=EMILIA+ROMAGNA","Cerca su PCS")</f>
        <v>Cerca su PCS</v>
      </c>
    </row>
    <row r="152" spans="1:4">
      <c r="A152" s="1">
        <v>174</v>
      </c>
      <c r="B152" t="s">
        <v>635</v>
      </c>
      <c r="C152" t="s">
        <v>8</v>
      </c>
      <c r="D152" t="str">
        <f>HYPERLINK("https://www.procyclingstats.com/search.php?term=BOLZANO","Cerca su PCS")</f>
        <v>Cerca su PCS</v>
      </c>
    </row>
    <row r="153" spans="1:4">
      <c r="A153" s="1">
        <v>175</v>
      </c>
      <c r="B153" t="s">
        <v>636</v>
      </c>
      <c r="C153" t="s">
        <v>8</v>
      </c>
      <c r="D153" t="str">
        <f>HYPERLINK("https://www.procyclingstats.com/search.php?term=LIGURIA","Cerca su PCS")</f>
        <v>Cerca su PCS</v>
      </c>
    </row>
    <row r="154" spans="1:4">
      <c r="A154" s="1">
        <v>176</v>
      </c>
      <c r="B154" t="s">
        <v>637</v>
      </c>
      <c r="C154" t="s">
        <v>8</v>
      </c>
      <c r="D154" t="str">
        <f>HYPERLINK("https://www.procyclingstats.com/search.php?term=PUGLIA","Cerca su PCS")</f>
        <v>Cerca su PCS</v>
      </c>
    </row>
    <row r="155" spans="1:4">
      <c r="A155" s="1">
        <v>177</v>
      </c>
      <c r="B155" t="s">
        <v>638</v>
      </c>
      <c r="C155" t="s">
        <v>8</v>
      </c>
      <c r="D155" t="str">
        <f>HYPERLINK("https://www.procyclingstats.com/search.php?term=TOSCANA","Cerca su PCS")</f>
        <v>Cerca su PCS</v>
      </c>
    </row>
    <row r="156" spans="1:4">
      <c r="A156" s="1">
        <v>178</v>
      </c>
      <c r="B156" t="s">
        <v>639</v>
      </c>
      <c r="C156" t="s">
        <v>8</v>
      </c>
      <c r="D156" t="str">
        <f>HYPERLINK("https://www.procyclingstats.com/search.php?term=TEAM+POLTI+VISITMALTA","Cerca su PCS")</f>
        <v>Cerca su PCS</v>
      </c>
    </row>
    <row r="157" spans="1:4">
      <c r="A157" s="1">
        <v>179</v>
      </c>
      <c r="B157" t="s">
        <v>640</v>
      </c>
      <c r="C157" t="s">
        <v>8</v>
      </c>
      <c r="D157" t="str">
        <f>HYPERLINK("https://www.procyclingstats.com/search.php?term=MG+K-VIS+COSTRUZIONI+E+AMBIENTE","Cerca su PCS")</f>
        <v>Cerca su PCS</v>
      </c>
    </row>
    <row r="158" spans="1:4">
      <c r="A158" s="1">
        <v>180</v>
      </c>
      <c r="B158" t="s">
        <v>641</v>
      </c>
      <c r="C158" t="s">
        <v>8</v>
      </c>
      <c r="D158" t="str">
        <f>HYPERLINK("https://www.procyclingstats.com/search.php?term=GOODSHOP+YOYOGURT","Cerca su PCS")</f>
        <v>Cerca su PCS</v>
      </c>
    </row>
    <row r="159" spans="1:4">
      <c r="A159" s="1">
        <v>181</v>
      </c>
      <c r="B159" t="s">
        <v>642</v>
      </c>
      <c r="C159" t="s">
        <v>8</v>
      </c>
      <c r="D159" t="str">
        <f>HYPERLINK("https://www.procyclingstats.com/search.php?term=GS+MALTINTI+LAMPADARI+BANCA+CAMBIANO","Cerca su PCS")</f>
        <v>Cerca su PCS</v>
      </c>
    </row>
    <row r="160" spans="1:4">
      <c r="A160" s="1">
        <v>182</v>
      </c>
      <c r="B160" t="s">
        <v>643</v>
      </c>
      <c r="C160" t="s">
        <v>8</v>
      </c>
      <c r="D160" t="str">
        <f>HYPERLINK("https://www.procyclingstats.com/search.php?term=U.C.+PIASCO","Cerca su PCS")</f>
        <v>Cerca su PCS</v>
      </c>
    </row>
    <row r="161" spans="1:4">
      <c r="A161" s="1">
        <v>183</v>
      </c>
      <c r="B161" t="s">
        <v>644</v>
      </c>
      <c r="C161" t="s">
        <v>8</v>
      </c>
      <c r="D161" t="str">
        <f>HYPERLINK("https://www.procyclingstats.com/search.php?term=NORDEST+PETRUCCI+ASSALI+STEFEN","Cerca su PCS")</f>
        <v>Cerca su PCS</v>
      </c>
    </row>
    <row r="162" spans="1:4">
      <c r="A162" s="1">
        <v>184</v>
      </c>
      <c r="B162" t="s">
        <v>645</v>
      </c>
      <c r="C162" t="s">
        <v>8</v>
      </c>
      <c r="D162" t="str">
        <f>HYPERLINK("https://www.procyclingstats.com/search.php?term=AUTOZAI-CONTRI","Cerca su PCS")</f>
        <v>Cerca su PCS</v>
      </c>
    </row>
    <row r="163" spans="1:4">
      <c r="A163" s="1">
        <v>185</v>
      </c>
      <c r="B163" t="s">
        <v>646</v>
      </c>
      <c r="C163" t="s">
        <v>8</v>
      </c>
      <c r="D163" t="str">
        <f>HYPERLINK("https://www.procyclingstats.com/search.php?term=CLUB+DEPORTIVO+TRI+SPORT","Cerca su PCS")</f>
        <v>Cerca su PCS</v>
      </c>
    </row>
    <row r="164" spans="1:4">
      <c r="A164" s="1">
        <v>186</v>
      </c>
      <c r="B164" t="s">
        <v>647</v>
      </c>
      <c r="C164" t="s">
        <v>8</v>
      </c>
      <c r="D164" t="str">
        <f>HYPERLINK("https://www.procyclingstats.com/search.php?term=TEAM+GENERAL+SYSTEM","Cerca su PCS")</f>
        <v>Cerca su PCS</v>
      </c>
    </row>
    <row r="165" spans="1:4">
      <c r="A165" s="1">
        <v>187</v>
      </c>
      <c r="B165" t="s">
        <v>648</v>
      </c>
      <c r="C165" t="s">
        <v>8</v>
      </c>
      <c r="D165" t="str">
        <f>HYPERLINK("https://www.procyclingstats.com/search.php?term=SIDERMEC+-+SLP","Cerca su PCS")</f>
        <v>Cerca su PCS</v>
      </c>
    </row>
    <row r="166" spans="1:4">
      <c r="A166" s="1">
        <v>188</v>
      </c>
      <c r="B166" t="s">
        <v>649</v>
      </c>
      <c r="C166" t="s">
        <v>8</v>
      </c>
      <c r="D166" t="str">
        <f>HYPERLINK("https://www.procyclingstats.com/search.php?term=TEAM+VANGI+TOMMASINI+IL+PIRATA","Cerca su PCS")</f>
        <v>Cerca su PCS</v>
      </c>
    </row>
    <row r="167" spans="1:4">
      <c r="A167" s="1">
        <v>189</v>
      </c>
      <c r="B167" t="s">
        <v>650</v>
      </c>
      <c r="C167" t="s">
        <v>8</v>
      </c>
      <c r="D167" t="str">
        <f>HYPERLINK("https://www.procyclingstats.com/search.php?term=ITALIA+NUOVA+BOLOGNA","Cerca su PCS")</f>
        <v>Cerca su PCS</v>
      </c>
    </row>
    <row r="168" spans="1:4">
      <c r="A168" s="1">
        <v>190</v>
      </c>
      <c r="B168" t="s">
        <v>651</v>
      </c>
      <c r="C168" t="s">
        <v>8</v>
      </c>
      <c r="D168" t="str">
        <f>HYPERLINK("https://www.procyclingstats.com/search.php?term=QUILIANO+BIKE+SPEED+WHEEL","Cerca su PCS")</f>
        <v>Cerca su PCS</v>
      </c>
    </row>
    <row r="169" spans="1:4">
      <c r="A169" s="1">
        <v>191</v>
      </c>
      <c r="B169" t="s">
        <v>652</v>
      </c>
      <c r="C169" t="s">
        <v>8</v>
      </c>
      <c r="D169" t="str">
        <f>HYPERLINK("https://www.procyclingstats.com/search.php?term=A.S.D.+G.S.+LUC+BOVOLONE","Cerca su PCS")</f>
        <v>Cerca su PCS</v>
      </c>
    </row>
    <row r="170" spans="1:4">
      <c r="A170" s="1">
        <v>192</v>
      </c>
      <c r="B170" t="s">
        <v>653</v>
      </c>
      <c r="C170" t="s">
        <v>8</v>
      </c>
      <c r="D170" t="str">
        <f>HYPERLINK("https://www.procyclingstats.com/search.php?term=BRUNO+GAIGA+C.A.M.P.I.","Cerca su PCS")</f>
        <v>Cerca su PCS</v>
      </c>
    </row>
    <row r="171" spans="1:4">
      <c r="A171" s="1">
        <v>193</v>
      </c>
      <c r="B171" t="s">
        <v>654</v>
      </c>
      <c r="C171" t="s">
        <v>8</v>
      </c>
      <c r="D171" t="str">
        <f>HYPERLINK("https://www.procyclingstats.com/search.php?term=A.S.D.+US+AUSONIA+CSI+PESCANTINA","Cerca su PCS")</f>
        <v>Cerca su PCS</v>
      </c>
    </row>
    <row r="172" spans="1:4">
      <c r="A172" s="1">
        <v>194</v>
      </c>
      <c r="B172" t="s">
        <v>655</v>
      </c>
      <c r="C172" t="s">
        <v>8</v>
      </c>
      <c r="D172" t="str">
        <f>HYPERLINK("https://www.procyclingstats.com/search.php?term=LA+TERMOPIAVE+VALCAVASIA+JUNIOR+TEAM","Cerca su PCS")</f>
        <v>Cerca su PCS</v>
      </c>
    </row>
    <row r="173" spans="1:4">
      <c r="A173" s="1">
        <v>195</v>
      </c>
      <c r="B173" t="s">
        <v>656</v>
      </c>
      <c r="C173" t="s">
        <v>8</v>
      </c>
      <c r="D173" t="str">
        <f>HYPERLINK("https://www.procyclingstats.com/search.php?term=GS+CARTURA+NALIN","Cerca su PCS")</f>
        <v>Cerca su PCS</v>
      </c>
    </row>
    <row r="174" spans="1:4">
      <c r="A174" s="1">
        <v>196</v>
      </c>
      <c r="B174" t="s">
        <v>657</v>
      </c>
      <c r="C174" t="s">
        <v>8</v>
      </c>
      <c r="D174" t="str">
        <f>HYPERLINK("https://www.procyclingstats.com/search.php?term=POOL+CANTU'+-+SOVICO+-+GB+TEAM","Cerca su PCS")</f>
        <v>Cerca su PCS</v>
      </c>
    </row>
    <row r="175" spans="1:4">
      <c r="A175" s="1">
        <v>197</v>
      </c>
      <c r="B175" t="s">
        <v>658</v>
      </c>
      <c r="C175" t="s">
        <v>8</v>
      </c>
      <c r="D175" t="str">
        <f>HYPERLINK("https://www.procyclingstats.com/search.php?term=V.C.+CASSANO+MAGNAGO+1992","Cerca su PCS")</f>
        <v>Cerca su PCS</v>
      </c>
    </row>
    <row r="176" spans="1:4">
      <c r="A176" s="1">
        <v>198</v>
      </c>
      <c r="B176" t="s">
        <v>659</v>
      </c>
      <c r="C176" t="s">
        <v>8</v>
      </c>
      <c r="D176" t="str">
        <f>HYPERLINK("https://www.procyclingstats.com/search.php?term=PROGETTO+CICLISMO+-+RODENGO+S.+ASD","Cerca su PCS")</f>
        <v>Cerca su PCS</v>
      </c>
    </row>
    <row r="177" spans="1:4">
      <c r="A177" s="1">
        <v>199</v>
      </c>
      <c r="B177" t="s">
        <v>660</v>
      </c>
      <c r="C177" t="s">
        <v>8</v>
      </c>
      <c r="D177" t="str">
        <f>HYPERLINK("https://www.procyclingstats.com/search.php?term=1050+BIKE+TEAM","Cerca su PCS")</f>
        <v>Cerca su PCS</v>
      </c>
    </row>
    <row r="178" spans="1:4">
      <c r="A178" s="1">
        <v>200</v>
      </c>
      <c r="B178" t="s">
        <v>661</v>
      </c>
      <c r="C178" t="s">
        <v>8</v>
      </c>
      <c r="D178" t="str">
        <f>HYPERLINK("https://www.procyclingstats.com/search.php?term=TEAM+FACT+ACADEMY","Cerca su PCS")</f>
        <v>Cerca su PCS</v>
      </c>
    </row>
    <row r="179" spans="1:4">
      <c r="A179" s="1">
        <v>201</v>
      </c>
      <c r="B179" t="s">
        <v>662</v>
      </c>
      <c r="C179" t="s">
        <v>8</v>
      </c>
      <c r="D179" t="str">
        <f>HYPERLINK("https://www.procyclingstats.com/search.php?term=GS+BUTESE","Cerca su PCS")</f>
        <v>Cerca su PCS</v>
      </c>
    </row>
    <row r="180" spans="1:4">
      <c r="A180" s="1">
        <v>202</v>
      </c>
      <c r="B180" t="s">
        <v>663</v>
      </c>
      <c r="C180" t="s">
        <v>8</v>
      </c>
      <c r="D180" t="str">
        <f>HYPERLINK("https://www.procyclingstats.com/search.php?term=A.S.D.-+V.C.MONTEBELLUNA","Cerca su PCS")</f>
        <v>Cerca su PCS</v>
      </c>
    </row>
    <row r="181" spans="1:4">
      <c r="A181" s="1">
        <v>203</v>
      </c>
      <c r="B181" t="s">
        <v>664</v>
      </c>
      <c r="C181" t="s">
        <v>8</v>
      </c>
      <c r="D181" t="str">
        <f>HYPERLINK("https://www.procyclingstats.com/search.php?term=PEDALE+MARENESE+GINO+BARTALI","Cerca su PCS")</f>
        <v>Cerca su PCS</v>
      </c>
    </row>
    <row r="182" spans="1:4">
      <c r="A182" s="1">
        <v>204</v>
      </c>
      <c r="B182" t="s">
        <v>665</v>
      </c>
      <c r="C182" t="s">
        <v>8</v>
      </c>
      <c r="D182" t="str">
        <f>HYPERLINK("https://www.procyclingstats.com/search.php?term=UC+FOEN+MICTU","Cerca su PCS")</f>
        <v>Cerca su PCS</v>
      </c>
    </row>
    <row r="183" spans="1:4">
      <c r="A183" s="1">
        <v>205</v>
      </c>
      <c r="B183" t="s">
        <v>666</v>
      </c>
      <c r="C183" t="s">
        <v>8</v>
      </c>
      <c r="D183" t="str">
        <f>HYPERLINK("https://www.procyclingstats.com/search.php?term=A.S.D.+U.S.+F.+COPPI+MONTECCHIO+P.","Cerca su PCS")</f>
        <v>Cerca su PCS</v>
      </c>
    </row>
    <row r="184" spans="1:4">
      <c r="A184" s="1">
        <v>206</v>
      </c>
      <c r="B184" t="s">
        <v>667</v>
      </c>
      <c r="C184" t="s">
        <v>8</v>
      </c>
      <c r="D184" t="str">
        <f>HYPERLINK("https://www.procyclingstats.com/search.php?term=SOC.+SPORT.SANFIORESE","Cerca su PCS")</f>
        <v>Cerca su PCS</v>
      </c>
    </row>
    <row r="185" spans="1:4">
      <c r="A185" s="1">
        <v>207</v>
      </c>
      <c r="B185" t="s">
        <v>668</v>
      </c>
      <c r="C185" t="s">
        <v>8</v>
      </c>
      <c r="D185" t="str">
        <f>HYPERLINK("https://www.procyclingstats.com/search.php?term=S.+C.+FONTANAFREDDA","Cerca su PCS")</f>
        <v>Cerca su PCS</v>
      </c>
    </row>
    <row r="186" spans="1:4">
      <c r="A186" s="1">
        <v>208</v>
      </c>
      <c r="B186" t="s">
        <v>669</v>
      </c>
      <c r="C186" t="s">
        <v>8</v>
      </c>
      <c r="D186" t="str">
        <f>HYPERLINK("https://www.procyclingstats.com/search.php?term=SPRINT+VIDOR+VALLATA+ASD","Cerca su PCS")</f>
        <v>Cerca su PCS</v>
      </c>
    </row>
    <row r="187" spans="1:4">
      <c r="A187" s="1">
        <v>209</v>
      </c>
      <c r="B187" t="s">
        <v>670</v>
      </c>
      <c r="C187" t="s">
        <v>8</v>
      </c>
      <c r="D187" t="str">
        <f>HYPERLINK("https://www.procyclingstats.com/search.php?term=G.S.+CERNUSCHESE+TINO+GADDA+A.S.D.","Cerca su PCS")</f>
        <v>Cerca su PCS</v>
      </c>
    </row>
    <row r="188" spans="1:4">
      <c r="A188" s="1">
        <v>210</v>
      </c>
      <c r="B188" t="s">
        <v>671</v>
      </c>
      <c r="C188" t="s">
        <v>8</v>
      </c>
      <c r="D188" t="str">
        <f>HYPERLINK("https://www.procyclingstats.com/search.php?term=KTM+ACADEMY+LE+MARMOTTE","Cerca su PCS")</f>
        <v>Cerca su PCS</v>
      </c>
    </row>
    <row r="189" spans="1:4">
      <c r="A189" s="1">
        <v>211</v>
      </c>
      <c r="B189" t="s">
        <v>672</v>
      </c>
      <c r="C189" t="s">
        <v>8</v>
      </c>
      <c r="D189" t="str">
        <f>HYPERLINK("https://www.procyclingstats.com/search.php?term=VAIANO+BIKE","Cerca su PCS")</f>
        <v>Cerca su PCS</v>
      </c>
    </row>
    <row r="190" spans="1:4">
      <c r="A190" s="1">
        <v>212</v>
      </c>
      <c r="B190" t="s">
        <v>673</v>
      </c>
      <c r="C190" t="s">
        <v>8</v>
      </c>
      <c r="D190" t="str">
        <f>HYPERLINK("https://www.procyclingstats.com/search.php?term=S.S.+STELLA+ALPINA+RENAZZO","Cerca su PCS")</f>
        <v>Cerca su PCS</v>
      </c>
    </row>
    <row r="191" spans="1:4">
      <c r="A191" s="1">
        <v>213</v>
      </c>
      <c r="B191" t="s">
        <v>674</v>
      </c>
      <c r="C191" t="s">
        <v>8</v>
      </c>
      <c r="D191" t="str">
        <f>HYPERLINK("https://www.procyclingstats.com/search.php?term=USD+MONTECARLO+CICLISMO","Cerca su PCS")</f>
        <v>Cerca su PCS</v>
      </c>
    </row>
    <row r="192" spans="1:4">
      <c r="A192" s="1">
        <v>214</v>
      </c>
      <c r="B192" t="s">
        <v>675</v>
      </c>
      <c r="C192" t="s">
        <v>8</v>
      </c>
      <c r="D192" t="str">
        <f>HYPERLINK("https://www.procyclingstats.com/search.php?term=S.C.+GASTONE+NENCINI","Cerca su PCS")</f>
        <v>Cerca su PCS</v>
      </c>
    </row>
    <row r="193" spans="1:4">
      <c r="A193" s="1">
        <v>215</v>
      </c>
      <c r="B193" t="s">
        <v>676</v>
      </c>
      <c r="C193" t="s">
        <v>8</v>
      </c>
      <c r="D193" t="str">
        <f>HYPERLINK("https://www.procyclingstats.com/search.php?term=PEDALE+TOSCANO+PONTICINO","Cerca su PCS")</f>
        <v>Cerca su PCS</v>
      </c>
    </row>
    <row r="194" spans="1:4">
      <c r="A194" s="1">
        <v>216</v>
      </c>
      <c r="B194" t="s">
        <v>677</v>
      </c>
      <c r="C194" t="s">
        <v>8</v>
      </c>
      <c r="D194" t="str">
        <f>HYPERLINK("https://www.procyclingstats.com/search.php?term=PIEMONTE","Cerca su PCS")</f>
        <v>Cerca su PCS</v>
      </c>
    </row>
    <row r="195" spans="1:4">
      <c r="A195" s="1">
        <v>217</v>
      </c>
      <c r="B195" t="s">
        <v>678</v>
      </c>
      <c r="C195" t="s">
        <v>8</v>
      </c>
      <c r="D195" t="str">
        <f>HYPERLINK("https://www.procyclingstats.com/search.php?term=VALLE+D'AOSTA","Cerca su PCS")</f>
        <v>Cerca su PCS</v>
      </c>
    </row>
    <row r="196" spans="1:4">
      <c r="A196" s="1">
        <v>218</v>
      </c>
      <c r="B196" t="s">
        <v>679</v>
      </c>
      <c r="C196" t="s">
        <v>8</v>
      </c>
      <c r="D196" t="str">
        <f>HYPERLINK("https://www.procyclingstats.com/search.php?term=MASTROMARCO+FC+NIBALI","Cerca su PCS")</f>
        <v>Cerca su PCS</v>
      </c>
    </row>
    <row r="197" spans="1:4">
      <c r="A197" s="1">
        <v>219</v>
      </c>
      <c r="B197" t="s">
        <v>680</v>
      </c>
      <c r="C197" t="s">
        <v>8</v>
      </c>
      <c r="D197" t="str">
        <f>HYPERLINK("https://www.procyclingstats.com/search.php?term=ASD+SWATT+CLUB","Cerca su PCS")</f>
        <v>Cerca su PCS</v>
      </c>
    </row>
    <row r="198" spans="1:4">
      <c r="A198" s="1">
        <v>220</v>
      </c>
      <c r="B198" t="s">
        <v>681</v>
      </c>
      <c r="C198" t="s">
        <v>8</v>
      </c>
      <c r="D198" t="str">
        <f>HYPERLINK("https://www.procyclingstats.com/search.php?term=TEAM+WSA+KTM+GRAZ","Cerca su PCS")</f>
        <v>Cerca su PCS</v>
      </c>
    </row>
    <row r="199" spans="1:4">
      <c r="A199" s="1">
        <v>221</v>
      </c>
      <c r="B199" t="s">
        <v>682</v>
      </c>
      <c r="C199" t="s">
        <v>8</v>
      </c>
      <c r="D199" t="str">
        <f>HYPERLINK("https://www.procyclingstats.com/search.php?term=POOL+CANTU'+GB+TEAM+A.S.D.","Cerca su PCS")</f>
        <v>Cerca su PCS</v>
      </c>
    </row>
    <row r="200" spans="1:4">
      <c r="A200" s="1">
        <v>222</v>
      </c>
      <c r="B200" t="s">
        <v>683</v>
      </c>
      <c r="C200" t="s">
        <v>8</v>
      </c>
      <c r="D200" t="str">
        <f>HYPERLINK("https://www.procyclingstats.com/search.php?term=S.+C.+CENE+A.+S.+D.","Cerca su PCS")</f>
        <v>Cerca su PCS</v>
      </c>
    </row>
    <row r="201" spans="1:4">
      <c r="A201" s="1">
        <v>223</v>
      </c>
      <c r="B201" t="s">
        <v>684</v>
      </c>
      <c r="C201" t="s">
        <v>8</v>
      </c>
      <c r="D201" t="str">
        <f>HYPERLINK("https://www.procyclingstats.com/search.php?term=XDS+ASTANA+DEVELOPMENT+TEAM","Cerca su PCS")</f>
        <v>Cerca su PCS</v>
      </c>
    </row>
    <row r="202" spans="1:4">
      <c r="A202" s="1">
        <v>224</v>
      </c>
      <c r="B202" t="s">
        <v>685</v>
      </c>
      <c r="C202" t="s">
        <v>8</v>
      </c>
      <c r="D202" t="str">
        <f>HYPERLINK("https://www.procyclingstats.com/search.php?term=SOUDAL+QUICK-STEP+DEVO+TEAM","Cerca su PCS")</f>
        <v>Cerca su PCS</v>
      </c>
    </row>
    <row r="203" spans="1:4">
      <c r="A203" s="1">
        <v>225</v>
      </c>
      <c r="B203" t="s">
        <v>686</v>
      </c>
      <c r="C203" t="s">
        <v>8</v>
      </c>
      <c r="D203" t="str">
        <f>HYPERLINK("https://www.procyclingstats.com/search.php?term=EQUIPE+CORBETTESE","Cerca su PCS")</f>
        <v>Cerca su PCS</v>
      </c>
    </row>
    <row r="204" spans="1:4">
      <c r="A204" s="1">
        <v>226</v>
      </c>
      <c r="B204" t="s">
        <v>687</v>
      </c>
      <c r="C204" t="s">
        <v>8</v>
      </c>
      <c r="D204" t="str">
        <f>HYPERLINK("https://www.procyclingstats.com/search.php?term=WWV+HAGENS+BERMAN+-+JAYCO","Cerca su PCS")</f>
        <v>Cerca su PCS</v>
      </c>
    </row>
    <row r="205" spans="1:4">
      <c r="A205" s="1">
        <v>227</v>
      </c>
      <c r="B205" t="s">
        <v>688</v>
      </c>
      <c r="C205" t="s">
        <v>8</v>
      </c>
      <c r="D205" t="str">
        <f>HYPERLINK("https://www.procyclingstats.com/search.php?term=LIDL+-+TREK","Cerca su PCS")</f>
        <v>Cerca su PCS</v>
      </c>
    </row>
    <row r="206" spans="1:4">
      <c r="A206" s="1">
        <v>228</v>
      </c>
      <c r="B206" t="s">
        <v>689</v>
      </c>
      <c r="C206" t="s">
        <v>8</v>
      </c>
      <c r="D206" t="str">
        <f>HYPERLINK("https://www.procyclingstats.com/search.php?term=FIAMME+ORO","Cerca su PCS")</f>
        <v>Cerca su PCS</v>
      </c>
    </row>
    <row r="207" spans="1:4">
      <c r="A207" s="1">
        <v>229</v>
      </c>
      <c r="B207" t="s">
        <v>690</v>
      </c>
      <c r="C207" t="s">
        <v>8</v>
      </c>
      <c r="D207" t="str">
        <f>HYPERLINK("https://www.procyclingstats.com/search.php?term=GS+FIAMME+AZZURRE","Cerca su PCS")</f>
        <v>Cerca su PCS</v>
      </c>
    </row>
    <row r="208" spans="1:4">
      <c r="A208" s="1">
        <v>230</v>
      </c>
      <c r="B208" t="s">
        <v>691</v>
      </c>
      <c r="C208" t="s">
        <v>8</v>
      </c>
      <c r="D208" t="str">
        <f>HYPERLINK("https://www.procyclingstats.com/search.php?term=LABORAL+KUTXA+-+FUNDACION+EUSKADI","Cerca su PCS")</f>
        <v>Cerca su PCS</v>
      </c>
    </row>
    <row r="209" spans="1:4">
      <c r="A209" s="1">
        <v>231</v>
      </c>
      <c r="B209" t="s">
        <v>692</v>
      </c>
      <c r="C209" t="s">
        <v>8</v>
      </c>
      <c r="D209" t="str">
        <f>HYPERLINK("https://www.procyclingstats.com/search.php?term=MOVISTAR+TEAM","Cerca su PCS")</f>
        <v>Cerca su PCS</v>
      </c>
    </row>
    <row r="210" spans="1:4">
      <c r="A210" s="1">
        <v>232</v>
      </c>
      <c r="B210" t="s">
        <v>693</v>
      </c>
      <c r="C210" t="s">
        <v>8</v>
      </c>
      <c r="D210" t="str">
        <f>HYPERLINK("https://www.procyclingstats.com/search.php?term=ROTOGAL+GUADENSE","Cerca su PCS")</f>
        <v>Cerca su PCS</v>
      </c>
    </row>
    <row r="211" spans="1:4">
      <c r="A211" s="1">
        <v>233</v>
      </c>
      <c r="B211" t="s">
        <v>694</v>
      </c>
      <c r="C211" t="s">
        <v>8</v>
      </c>
      <c r="D211" t="str">
        <f>HYPERLINK("https://www.procyclingstats.com/search.php?term=CASANO","Cerca su PCS")</f>
        <v>Cerca su PCS</v>
      </c>
    </row>
    <row r="212" spans="1:4">
      <c r="A212" s="1">
        <v>234</v>
      </c>
      <c r="B212" t="s">
        <v>695</v>
      </c>
      <c r="C212" t="s">
        <v>8</v>
      </c>
      <c r="D212" t="str">
        <f>HYPERLINK("https://www.procyclingstats.com/search.php?term=E'+VALTELLINA+PEDALE+MORBEGNESE","Cerca su PCS")</f>
        <v>Cerca su PCS</v>
      </c>
    </row>
    <row r="213" spans="1:4">
      <c r="A213" s="1">
        <v>235</v>
      </c>
      <c r="B213" t="s">
        <v>696</v>
      </c>
      <c r="C213" t="s">
        <v>8</v>
      </c>
      <c r="D213" t="str">
        <f>HYPERLINK("https://www.procyclingstats.com/search.php?term=TEAM+GUERRINI+SENAGHESE","Cerca su PCS")</f>
        <v>Cerca su PCS</v>
      </c>
    </row>
    <row r="214" spans="1:4">
      <c r="A214" s="1">
        <v>236</v>
      </c>
      <c r="B214" t="s">
        <v>697</v>
      </c>
      <c r="C214" t="s">
        <v>8</v>
      </c>
      <c r="D214" t="str">
        <f>HYPERLINK("https://www.procyclingstats.com/search.php?term=G.S.+MASSI'+SUPERMERCATI+PONTIDA","Cerca su PCS")</f>
        <v>Cerca su PCS</v>
      </c>
    </row>
    <row r="215" spans="1:4">
      <c r="A215" s="1">
        <v>237</v>
      </c>
      <c r="B215" t="s">
        <v>698</v>
      </c>
      <c r="C215" t="s">
        <v>8</v>
      </c>
      <c r="D215" t="str">
        <f>HYPERLINK("https://www.procyclingstats.com/search.php?term=U.C.A.B.+1925+BIELLA+-+SEMPERLUX","Cerca su PCS")</f>
        <v>Cerca su PCS</v>
      </c>
    </row>
    <row r="216" spans="1:4">
      <c r="A216" s="1">
        <v>238</v>
      </c>
      <c r="B216" t="s">
        <v>699</v>
      </c>
      <c r="C216" t="s">
        <v>8</v>
      </c>
      <c r="D216" t="str">
        <f>HYPERLINK("https://www.procyclingstats.com/search.php?term=U.C.+GUSPINI+A.S.D.","Cerca su PCS")</f>
        <v>Cerca su PCS</v>
      </c>
    </row>
    <row r="217" spans="1:4">
      <c r="A217" s="1">
        <v>239</v>
      </c>
      <c r="B217" t="s">
        <v>700</v>
      </c>
      <c r="C217" t="s">
        <v>8</v>
      </c>
      <c r="D217" t="str">
        <f>HYPERLINK("https://www.procyclingstats.com/search.php?term=JU+GREEN+A.S.D.+GORLA+MINORE","Cerca su PCS")</f>
        <v>Cerca su PCS</v>
      </c>
    </row>
    <row r="218" spans="1:4">
      <c r="A218" s="1">
        <v>240</v>
      </c>
      <c r="B218" t="s">
        <v>701</v>
      </c>
      <c r="C218" t="s">
        <v>8</v>
      </c>
      <c r="D218" t="str">
        <f>HYPERLINK("https://www.procyclingstats.com/search.php?term=MARY+J+SWEET+ANGEL+ASD","Cerca su PCS")</f>
        <v>Cerca su PCS</v>
      </c>
    </row>
    <row r="219" spans="1:4">
      <c r="A219" s="1">
        <v>241</v>
      </c>
      <c r="B219" t="s">
        <v>702</v>
      </c>
      <c r="C219" t="s">
        <v>8</v>
      </c>
      <c r="D219" t="str">
        <f>HYPERLINK("https://www.procyclingstats.com/search.php?term=SAN+MINIATO+CICLISMO+A.S.D.","Cerca su PCS")</f>
        <v>Cerca su PCS</v>
      </c>
    </row>
    <row r="220" spans="1:4">
      <c r="A220" s="1">
        <v>242</v>
      </c>
      <c r="B220" t="s">
        <v>703</v>
      </c>
      <c r="C220" t="s">
        <v>8</v>
      </c>
      <c r="D220" t="str">
        <f>HYPERLINK("https://www.procyclingstats.com/search.php?term=CICLISTICA+DRO","Cerca su PCS")</f>
        <v>Cerca su PCS</v>
      </c>
    </row>
    <row r="221" spans="1:4">
      <c r="A221" s="1">
        <v>243</v>
      </c>
      <c r="B221" t="s">
        <v>704</v>
      </c>
      <c r="C221" t="s">
        <v>8</v>
      </c>
      <c r="D221" t="str">
        <f>HYPERLINK("https://www.procyclingstats.com/search.php?term=A.S.D.+VELODROME+MARCON","Cerca su PCS")</f>
        <v>Cerca su PCS</v>
      </c>
    </row>
    <row r="222" spans="1:4">
      <c r="A222" s="1">
        <v>244</v>
      </c>
      <c r="B222" t="s">
        <v>705</v>
      </c>
      <c r="C222" t="s">
        <v>8</v>
      </c>
      <c r="D222" t="str">
        <f>HYPERLINK("https://www.procyclingstats.com/search.php?term=IL+PIRATA+VANGI+OTC","Cerca su PCS")</f>
        <v>Cerca su PCS</v>
      </c>
    </row>
    <row r="223" spans="1:4">
      <c r="A223" s="1">
        <v>245</v>
      </c>
      <c r="B223" t="s">
        <v>706</v>
      </c>
      <c r="C223" t="s">
        <v>8</v>
      </c>
      <c r="D223" t="str">
        <f>HYPERLINK("https://www.procyclingstats.com/search.php?term=ASD+MORENO+DI+BIASE","Cerca su PCS")</f>
        <v>Cerca su PCS</v>
      </c>
    </row>
    <row r="224" spans="1:4">
      <c r="A224" s="1">
        <v>246</v>
      </c>
      <c r="B224" t="s">
        <v>707</v>
      </c>
      <c r="C224" t="s">
        <v>8</v>
      </c>
      <c r="D224" t="str">
        <f>HYPERLINK("https://www.procyclingstats.com/search.php?term=I+CINGHIALI+EVO","Cerca su PCS")</f>
        <v>Cerca su PCS</v>
      </c>
    </row>
    <row r="225" spans="1:4">
      <c r="A225" s="1">
        <v>247</v>
      </c>
      <c r="B225" t="s">
        <v>708</v>
      </c>
      <c r="C225" t="s">
        <v>8</v>
      </c>
      <c r="D225" t="str">
        <f>HYPERLINK("https://www.procyclingstats.com/search.php?term=TEAM+BIKE+SIRACUSA","Cerca su PCS")</f>
        <v>Cerca su PCS</v>
      </c>
    </row>
    <row r="226" spans="1:4">
      <c r="A226" s="1">
        <v>248</v>
      </c>
      <c r="B226" t="s">
        <v>709</v>
      </c>
      <c r="C226" t="s">
        <v>8</v>
      </c>
      <c r="D226" t="str">
        <f>HYPERLINK("https://www.procyclingstats.com/search.php?term=A.S.D.+AF+ARREDAMENTI+TEAM+CICLING","Cerca su PCS")</f>
        <v>Cerca su PCS</v>
      </c>
    </row>
    <row r="227" spans="1:4">
      <c r="A227" s="1">
        <v>249</v>
      </c>
      <c r="B227" t="s">
        <v>710</v>
      </c>
      <c r="C227" t="s">
        <v>8</v>
      </c>
      <c r="D227" t="str">
        <f>HYPERLINK("https://www.procyclingstats.com/search.php?term=SEI+SPORT","Cerca su PCS")</f>
        <v>Cerca su PCS</v>
      </c>
    </row>
    <row r="228" spans="1:4">
      <c r="A228" s="1">
        <v>250</v>
      </c>
      <c r="B228" t="s">
        <v>711</v>
      </c>
      <c r="C228" t="s">
        <v>8</v>
      </c>
      <c r="D228" t="str">
        <f>HYPERLINK("https://www.procyclingstats.com/search.php?term=FOLIGNO+CYCLING+TEAM+ASD","Cerca su PCS")</f>
        <v>Cerca su PCS</v>
      </c>
    </row>
    <row r="229" spans="1:4">
      <c r="A229" s="1">
        <v>251</v>
      </c>
      <c r="B229" t="s">
        <v>712</v>
      </c>
      <c r="C229" t="s">
        <v>8</v>
      </c>
      <c r="D229" t="str">
        <f>HYPERLINK("https://www.procyclingstats.com/search.php?term=ASD+FUSION+BIKE","Cerca su PCS")</f>
        <v>Cerca su PCS</v>
      </c>
    </row>
    <row r="230" spans="1:4">
      <c r="A230" s="1">
        <v>252</v>
      </c>
      <c r="B230" t="s">
        <v>713</v>
      </c>
      <c r="C230" t="s">
        <v>8</v>
      </c>
      <c r="D230" t="str">
        <f>HYPERLINK("https://www.procyclingstats.com/search.php?term=ASD+GUBBIO+CICLISMO+MOCAIANA","Cerca su PCS")</f>
        <v>Cerca su PCS</v>
      </c>
    </row>
    <row r="231" spans="1:4">
      <c r="A231" s="1">
        <v>253</v>
      </c>
      <c r="B231" t="s">
        <v>714</v>
      </c>
      <c r="C231" t="s">
        <v>8</v>
      </c>
      <c r="D231" t="str">
        <f>HYPERLINK("https://www.procyclingstats.com/search.php?term=ASD+TEAM+MMBIKE+ANDRIA+RESTO+AL+SUD","Cerca su PCS")</f>
        <v>Cerca su PCS</v>
      </c>
    </row>
    <row r="232" spans="1:4">
      <c r="A232" s="1">
        <v>254</v>
      </c>
      <c r="B232" t="s">
        <v>715</v>
      </c>
      <c r="C232" t="s">
        <v>8</v>
      </c>
      <c r="D232" t="str">
        <f>HYPERLINK("https://www.procyclingstats.com/search.php?term=VELO+CLUB+SARROCH","Cerca su PCS")</f>
        <v>Cerca su PCS</v>
      </c>
    </row>
    <row r="233" spans="1:4">
      <c r="A233" s="1">
        <v>255</v>
      </c>
      <c r="B233" t="s">
        <v>716</v>
      </c>
      <c r="C233" t="s">
        <v>8</v>
      </c>
      <c r="D233" t="str">
        <f>HYPERLINK("https://www.procyclingstats.com/search.php?term=G.S.+PEDALE+SINISCOLESE","Cerca su PCS")</f>
        <v>Cerca su PCS</v>
      </c>
    </row>
    <row r="234" spans="1:4">
      <c r="A234" s="1">
        <v>256</v>
      </c>
      <c r="B234" t="s">
        <v>717</v>
      </c>
      <c r="C234" t="s">
        <v>8</v>
      </c>
      <c r="D234" t="str">
        <f>HYPERLINK("https://www.procyclingstats.com/search.php?term=RACING+TEAM+AGRIGENTO","Cerca su PCS")</f>
        <v>Cerca su PCS</v>
      </c>
    </row>
    <row r="235" spans="1:4">
      <c r="A235" s="1">
        <v>257</v>
      </c>
      <c r="B235" t="s">
        <v>718</v>
      </c>
      <c r="C235" t="s">
        <v>8</v>
      </c>
      <c r="D235" t="str">
        <f>HYPERLINK("https://www.procyclingstats.com/search.php?term=STAR+CYCLING+LAB","Cerca su PCS")</f>
        <v>Cerca su PCS</v>
      </c>
    </row>
    <row r="236" spans="1:4">
      <c r="A236" s="1">
        <v>258</v>
      </c>
      <c r="B236" t="s">
        <v>719</v>
      </c>
      <c r="C236" t="s">
        <v>8</v>
      </c>
      <c r="D236" t="str">
        <f>HYPERLINK("https://www.procyclingstats.com/search.php?term=A.S.D.+MONGIBELLO+MTB+TEAM","Cerca su PCS")</f>
        <v>Cerca su PCS</v>
      </c>
    </row>
    <row r="237" spans="1:4">
      <c r="A237" s="1">
        <v>259</v>
      </c>
      <c r="B237" t="s">
        <v>720</v>
      </c>
      <c r="C237" t="s">
        <v>8</v>
      </c>
      <c r="D237" t="str">
        <f>HYPERLINK("https://www.procyclingstats.com/search.php?term=SC+POTENTIA-RINASCITA+ASD","Cerca su PCS")</f>
        <v>Cerca su PCS</v>
      </c>
    </row>
    <row r="238" spans="1:4">
      <c r="A238" s="1">
        <v>260</v>
      </c>
      <c r="B238" t="s">
        <v>721</v>
      </c>
      <c r="C238" t="s">
        <v>8</v>
      </c>
      <c r="D238" t="str">
        <f>HYPERLINK("https://www.procyclingstats.com/search.php?term=GS+PIANELLO","Cerca su PCS")</f>
        <v>Cerca su PCS</v>
      </c>
    </row>
    <row r="239" spans="1:4">
      <c r="A239" s="1">
        <v>261</v>
      </c>
      <c r="B239" t="s">
        <v>722</v>
      </c>
      <c r="C239" t="s">
        <v>8</v>
      </c>
      <c r="D239" t="str">
        <f>HYPERLINK("https://www.procyclingstats.com/search.php?term=A.S.D+CICLI+TONTI+CATTOLICA","Cerca su PCS")</f>
        <v>Cerca su PCS</v>
      </c>
    </row>
    <row r="240" spans="1:4">
      <c r="A240" s="1">
        <v>262</v>
      </c>
      <c r="B240" t="s">
        <v>723</v>
      </c>
      <c r="C240" t="s">
        <v>8</v>
      </c>
      <c r="D240" t="str">
        <f>HYPERLINK("https://www.procyclingstats.com/search.php?term=G.S.+AVIS+BIKE+AMELIA","Cerca su PCS")</f>
        <v>Cerca su PCS</v>
      </c>
    </row>
    <row r="241" spans="1:4">
      <c r="A241" s="1">
        <v>263</v>
      </c>
      <c r="B241" t="s">
        <v>724</v>
      </c>
      <c r="C241" t="s">
        <v>8</v>
      </c>
      <c r="D241" t="str">
        <f>HYPERLINK("https://www.procyclingstats.com/search.php?term=G.S.+ALTO+ADIGE+-+SUDTIROLPOST","Cerca su PCS")</f>
        <v>Cerca su PCS</v>
      </c>
    </row>
    <row r="242" spans="1:4">
      <c r="A242" s="1">
        <v>264</v>
      </c>
      <c r="B242" t="s">
        <v>725</v>
      </c>
      <c r="C242" t="s">
        <v>8</v>
      </c>
      <c r="D242" t="str">
        <f>HYPERLINK("https://www.procyclingstats.com/search.php?term=RICHEZE+ACADEMY","Cerca su PCS")</f>
        <v>Cerca su PCS</v>
      </c>
    </row>
    <row r="243" spans="1:4">
      <c r="A243" s="1">
        <v>265</v>
      </c>
      <c r="B243" t="s">
        <v>726</v>
      </c>
      <c r="C243" t="s">
        <v>8</v>
      </c>
      <c r="D243" t="str">
        <f>HYPERLINK("https://www.procyclingstats.com/search.php?term=U.P.O.L.+PEDALE+LUNGAVILLA+A.S.D.","Cerca su PCS")</f>
        <v>Cerca su PCS</v>
      </c>
    </row>
    <row r="244" spans="1:4">
      <c r="A244" s="1">
        <v>266</v>
      </c>
      <c r="B244" t="s">
        <v>727</v>
      </c>
      <c r="C244" t="s">
        <v>8</v>
      </c>
      <c r="D244" t="str">
        <f>HYPERLINK("https://www.procyclingstats.com/search.php?term=U.C.+SANGIULIANESE","Cerca su PCS")</f>
        <v>Cerca su PCS</v>
      </c>
    </row>
    <row r="245" spans="1:4">
      <c r="A245" s="1">
        <v>267</v>
      </c>
      <c r="B245" t="s">
        <v>728</v>
      </c>
      <c r="C245" t="s">
        <v>8</v>
      </c>
      <c r="D245" t="str">
        <f>HYPERLINK("https://www.procyclingstats.com/search.php?term=LOCO+BIKERS","Cerca su PCS")</f>
        <v>Cerca su PCS</v>
      </c>
    </row>
    <row r="246" spans="1:4">
      <c r="A246" s="1">
        <v>268</v>
      </c>
      <c r="B246" t="s">
        <v>729</v>
      </c>
      <c r="C246" t="s">
        <v>8</v>
      </c>
      <c r="D246" t="str">
        <f>HYPERLINK("https://www.procyclingstats.com/search.php?term=TEAM+LOGISTICA+AMBIENTALE","Cerca su PCS")</f>
        <v>Cerca su PCS</v>
      </c>
    </row>
    <row r="247" spans="1:4">
      <c r="A247" s="1">
        <v>269</v>
      </c>
      <c r="B247" t="s">
        <v>730</v>
      </c>
      <c r="C247" t="s">
        <v>8</v>
      </c>
      <c r="D247" t="str">
        <f>HYPERLINK("https://www.procyclingstats.com/search.php?term=GCD+PEDALE+MANZANESE","Cerca su PCS")</f>
        <v>Cerca su PCS</v>
      </c>
    </row>
    <row r="248" spans="1:4">
      <c r="A248" s="1">
        <v>270</v>
      </c>
      <c r="B248" t="s">
        <v>731</v>
      </c>
      <c r="C248" t="s">
        <v>8</v>
      </c>
      <c r="D248" t="str">
        <f>HYPERLINK("https://www.procyclingstats.com/search.php?term=A.S.D.+PEDALE+RONCHESE","Cerca su PCS")</f>
        <v>Cerca su PCS</v>
      </c>
    </row>
    <row r="249" spans="1:4">
      <c r="A249" s="1">
        <v>271</v>
      </c>
      <c r="B249" t="s">
        <v>732</v>
      </c>
      <c r="C249" t="s">
        <v>8</v>
      </c>
      <c r="D249" t="str">
        <f>HYPERLINK("https://www.procyclingstats.com/search.php?term=ASD+LIB.GRADISCA","Cerca su PCS")</f>
        <v>Cerca su PCS</v>
      </c>
    </row>
    <row r="250" spans="1:4">
      <c r="A250" s="1">
        <v>272</v>
      </c>
      <c r="B250" t="s">
        <v>733</v>
      </c>
      <c r="C250" t="s">
        <v>8</v>
      </c>
      <c r="D250" t="str">
        <f>HYPERLINK("https://www.procyclingstats.com/search.php?term=G.S.+CICLI+FIORIN+CYCLING+TEAM+ASD","Cerca su PCS")</f>
        <v>Cerca su PCS</v>
      </c>
    </row>
    <row r="251" spans="1:4">
      <c r="A251" s="1">
        <v>273</v>
      </c>
      <c r="B251" t="s">
        <v>734</v>
      </c>
      <c r="C251" t="s">
        <v>8</v>
      </c>
      <c r="D251" t="str">
        <f>HYPERLINK("https://www.procyclingstats.com/search.php?term=ITALIA","Cerca su PCS")</f>
        <v>Cerca su PCS</v>
      </c>
    </row>
    <row r="252" spans="1:4">
      <c r="A252" s="1">
        <v>274</v>
      </c>
      <c r="B252" t="s">
        <v>735</v>
      </c>
      <c r="C252" t="s">
        <v>8</v>
      </c>
      <c r="D252" t="str">
        <f>HYPERLINK("https://www.procyclingstats.com/search.php?term=MOVISTAR+TEAM+ACADEMY","Cerca su PCS")</f>
        <v>Cerca su PCS</v>
      </c>
    </row>
    <row r="253" spans="1:4">
      <c r="A253" s="1">
        <v>275</v>
      </c>
      <c r="B253" t="s">
        <v>736</v>
      </c>
      <c r="C253" t="s">
        <v>8</v>
      </c>
      <c r="D253" t="str">
        <f>HYPERLINK("https://www.procyclingstats.com/search.php?term=LAZIO","Cerca su PCS")</f>
        <v>Cerca su PCS</v>
      </c>
    </row>
    <row r="254" spans="1:4">
      <c r="A254" s="1">
        <v>276</v>
      </c>
      <c r="B254" t="s">
        <v>737</v>
      </c>
      <c r="C254" t="s">
        <v>8</v>
      </c>
      <c r="D254" t="str">
        <f>HYPERLINK("https://www.procyclingstats.com/search.php?term=G.S.+BAREGGESE+A.S.D","Cerca su PCS")</f>
        <v>Cerca su PCS</v>
      </c>
    </row>
    <row r="255" spans="1:4">
      <c r="A255" s="1">
        <v>277</v>
      </c>
      <c r="B255" t="s">
        <v>738</v>
      </c>
      <c r="C255" t="s">
        <v>8</v>
      </c>
      <c r="D255" t="str">
        <f>HYPERLINK("https://www.procyclingstats.com/search.php?term=B-TEAM+CYCLING+PROJECT","Cerca su PCS")</f>
        <v>Cerca su PCS</v>
      </c>
    </row>
    <row r="256" spans="1:4">
      <c r="A256" s="1">
        <v>278</v>
      </c>
      <c r="B256" t="s">
        <v>739</v>
      </c>
      <c r="C256" t="s">
        <v>8</v>
      </c>
      <c r="D256" t="str">
        <f>HYPERLINK("https://www.procyclingstats.com/search.php?term=ASD+STREGONE+VOLANTE","Cerca su PCS")</f>
        <v>Cerca su PCS</v>
      </c>
    </row>
    <row r="257" spans="1:4">
      <c r="A257" s="1">
        <v>279</v>
      </c>
      <c r="B257" t="s">
        <v>740</v>
      </c>
      <c r="C257" t="s">
        <v>8</v>
      </c>
      <c r="D257" t="str">
        <f>HYPERLINK("https://www.procyclingstats.com/search.php?term=SIRACUSA+ACADEMY+CYCLING","Cerca su PCS")</f>
        <v>Cerca su PCS</v>
      </c>
    </row>
    <row r="258" spans="1:4">
      <c r="A258" s="1">
        <v>280</v>
      </c>
      <c r="B258" t="s">
        <v>741</v>
      </c>
      <c r="C258" t="s">
        <v>8</v>
      </c>
      <c r="D258" t="str">
        <f>HYPERLINK("https://www.procyclingstats.com/search.php?term=MEBLO+JOGI+PRO-CONCRETE","Cerca su PCS")</f>
        <v>Cerca su PCS</v>
      </c>
    </row>
    <row r="259" spans="1:4">
      <c r="A259" s="1">
        <v>281</v>
      </c>
      <c r="B259" t="s">
        <v>742</v>
      </c>
      <c r="C259" t="s">
        <v>8</v>
      </c>
      <c r="D259" t="str">
        <f>HYPERLINK("https://www.procyclingstats.com/search.php?term=CICLO+TEAM+TROPOVCI","Cerca su PCS")</f>
        <v>Cerca su PCS</v>
      </c>
    </row>
    <row r="260" spans="1:4">
      <c r="A260" s="1">
        <v>282</v>
      </c>
      <c r="B260" t="s">
        <v>743</v>
      </c>
      <c r="C260" t="s">
        <v>8</v>
      </c>
      <c r="D260" t="str">
        <f>HYPERLINK("https://www.procyclingstats.com/search.php?term=POGI+TEAM+UAE+GENERALI","Cerca su PCS")</f>
        <v>Cerca su PCS</v>
      </c>
    </row>
    <row r="261" spans="1:4">
      <c r="A261" s="1">
        <v>283</v>
      </c>
      <c r="B261" t="s">
        <v>744</v>
      </c>
      <c r="C261" t="s">
        <v>8</v>
      </c>
      <c r="D261" t="str">
        <f>HYPERLINK("https://www.procyclingstats.com/search.php?term=SS+AQUILA","Cerca su PCS")</f>
        <v>Cerca su PCS</v>
      </c>
    </row>
    <row r="262" spans="1:4">
      <c r="A262" s="1">
        <v>284</v>
      </c>
      <c r="B262" t="s">
        <v>745</v>
      </c>
      <c r="C262" t="s">
        <v>8</v>
      </c>
      <c r="D262" t="str">
        <f>HYPERLINK("https://www.procyclingstats.com/search.php?term=TIRANO+BIKE","Cerca su PCS")</f>
        <v>Cerca su PCS</v>
      </c>
    </row>
    <row r="263" spans="1:4">
      <c r="A263" s="1">
        <v>285</v>
      </c>
      <c r="B263" t="s">
        <v>746</v>
      </c>
      <c r="C263" t="s">
        <v>8</v>
      </c>
      <c r="D263" t="str">
        <f>HYPERLINK("https://www.procyclingstats.com/search.php?term=CICLI+PERACCHI+SOVERE+A.S.D.","Cerca su PCS")</f>
        <v>Cerca su PCS</v>
      </c>
    </row>
    <row r="264" spans="1:4">
      <c r="A264" s="1">
        <v>286</v>
      </c>
      <c r="B264" t="s">
        <v>747</v>
      </c>
      <c r="C264" t="s">
        <v>8</v>
      </c>
      <c r="D264" t="str">
        <f>HYPERLINK("https://www.procyclingstats.com/search.php?term=A.S.D.+BELVEDERE-CICLONE","Cerca su PCS")</f>
        <v>Cerca su PCS</v>
      </c>
    </row>
    <row r="265" spans="1:4">
      <c r="A265" s="1">
        <v>287</v>
      </c>
      <c r="B265" t="s">
        <v>748</v>
      </c>
      <c r="C265" t="s">
        <v>8</v>
      </c>
      <c r="D265" t="str">
        <f>HYPERLINK("https://www.procyclingstats.com/search.php?term=A.S.D.+TEAM+EXTREME+2000","Cerca su PCS")</f>
        <v>Cerca su PCS</v>
      </c>
    </row>
    <row r="266" spans="1:4">
      <c r="A266" s="1">
        <v>288</v>
      </c>
      <c r="B266" t="s">
        <v>749</v>
      </c>
      <c r="C266" t="s">
        <v>8</v>
      </c>
      <c r="D266" t="str">
        <f>HYPERLINK("https://www.procyclingstats.com/search.php?term=KD+SLOGA+1902+IDRIJA","Cerca su PCS")</f>
        <v>Cerca su PCS</v>
      </c>
    </row>
    <row r="267" spans="1:4">
      <c r="A267" s="1">
        <v>289</v>
      </c>
      <c r="B267" t="s">
        <v>750</v>
      </c>
      <c r="C267" t="s">
        <v>8</v>
      </c>
      <c r="D267" t="str">
        <f>HYPERLINK("https://www.procyclingstats.com/search.php?term=KK+PANTAL","Cerca su PCS")</f>
        <v>Cerca su PCS</v>
      </c>
    </row>
    <row r="268" spans="1:4">
      <c r="A268" s="1">
        <v>290</v>
      </c>
      <c r="B268" t="s">
        <v>751</v>
      </c>
      <c r="C268" t="s">
        <v>8</v>
      </c>
      <c r="D268" t="str">
        <f>HYPERLINK("https://www.procyclingstats.com/search.php?term=V.C.+EPOREDIESE+CICLI+TESSIORE","Cerca su PCS")</f>
        <v>Cerca su PCS</v>
      </c>
    </row>
    <row r="269" spans="1:4">
      <c r="A269" s="1">
        <v>291</v>
      </c>
      <c r="B269" t="s">
        <v>752</v>
      </c>
      <c r="C269" t="s">
        <v>8</v>
      </c>
      <c r="D269" t="str">
        <f>HYPERLINK("https://www.procyclingstats.com/search.php?term=S.C.SAN+FELICE+A.S.D.","Cerca su PCS")</f>
        <v>Cerca su PCS</v>
      </c>
    </row>
    <row r="270" spans="1:4">
      <c r="A270" s="1">
        <v>292</v>
      </c>
      <c r="B270" t="s">
        <v>753</v>
      </c>
      <c r="C270" t="s">
        <v>8</v>
      </c>
      <c r="D270" t="str">
        <f>HYPERLINK("https://www.procyclingstats.com/search.php?term=OROBICI","Cerca su PCS")</f>
        <v>Cerca su PCS</v>
      </c>
    </row>
    <row r="271" spans="1:4">
      <c r="A271" s="1">
        <v>293</v>
      </c>
      <c r="B271" t="s">
        <v>754</v>
      </c>
      <c r="C271" t="s">
        <v>8</v>
      </c>
      <c r="D271" t="str">
        <f>HYPERLINK("https://www.procyclingstats.com/search.php?term=US+CARBONATE+ASD","Cerca su PCS")</f>
        <v>Cerca su PCS</v>
      </c>
    </row>
    <row r="272" spans="1:4">
      <c r="A272" s="1">
        <v>294</v>
      </c>
      <c r="B272" t="s">
        <v>755</v>
      </c>
      <c r="C272" t="s">
        <v>8</v>
      </c>
      <c r="D272" t="str">
        <f>HYPERLINK("https://www.procyclingstats.com/search.php?term=OSIO+SOTTO","Cerca su PCS")</f>
        <v>Cerca su PCS</v>
      </c>
    </row>
    <row r="273" spans="1:4">
      <c r="A273" s="1">
        <v>295</v>
      </c>
      <c r="B273" t="s">
        <v>756</v>
      </c>
      <c r="C273" t="s">
        <v>8</v>
      </c>
      <c r="D273" t="str">
        <f>HYPERLINK("https://www.procyclingstats.com/search.php?term=POL.+ALBERGO-OLIVETO","Cerca su PCS")</f>
        <v>Cerca su PCS</v>
      </c>
    </row>
    <row r="274" spans="1:4">
      <c r="A274" s="1">
        <v>296</v>
      </c>
      <c r="B274" t="s">
        <v>757</v>
      </c>
      <c r="C274" t="s">
        <v>8</v>
      </c>
      <c r="D274" t="str">
        <f>HYPERLINK("https://www.procyclingstats.com/search.php?term=VIGNA+FIORITA-BORGO+MOLINO","Cerca su PCS")</f>
        <v>Cerca su PCS</v>
      </c>
    </row>
    <row r="275" spans="1:4">
      <c r="A275" s="1">
        <v>297</v>
      </c>
      <c r="B275" t="s">
        <v>758</v>
      </c>
      <c r="C275" t="s">
        <v>8</v>
      </c>
      <c r="D275" t="str">
        <f>HYPERLINK("https://www.procyclingstats.com/search.php?term=FACTOR+RACING","Cerca su PCS")</f>
        <v>Cerca su PCS</v>
      </c>
    </row>
    <row r="276" spans="1:4">
      <c r="A276" s="1">
        <v>298</v>
      </c>
      <c r="B276" t="s">
        <v>759</v>
      </c>
      <c r="C276" t="s">
        <v>8</v>
      </c>
      <c r="D276" t="str">
        <f>HYPERLINK("https://www.procyclingstats.com/search.php?term=V.C.+ORSAGO+-+OROGILDO","Cerca su PCS")</f>
        <v>Cerca su PCS</v>
      </c>
    </row>
    <row r="277" spans="1:4">
      <c r="A277" s="1">
        <v>299</v>
      </c>
      <c r="B277" t="s">
        <v>760</v>
      </c>
      <c r="C277" t="s">
        <v>8</v>
      </c>
      <c r="D277" t="str">
        <f>HYPERLINK("https://www.procyclingstats.com/search.php?term=ST+KILDA+CYCLING+CLUB","Cerca su PCS")</f>
        <v>Cerca su PCS</v>
      </c>
    </row>
    <row r="278" spans="1:4">
      <c r="A278" s="1">
        <v>300</v>
      </c>
      <c r="B278" t="s">
        <v>761</v>
      </c>
      <c r="C278" t="s">
        <v>8</v>
      </c>
      <c r="D278" t="str">
        <f>HYPERLINK("https://www.procyclingstats.com/search.php?term=A.S.D.+-+G.C.+EMIC","Cerca su PCS")</f>
        <v>Cerca su PCS</v>
      </c>
    </row>
    <row r="279" spans="1:4">
      <c r="A279" s="1">
        <v>301</v>
      </c>
      <c r="B279" t="s">
        <v>762</v>
      </c>
      <c r="C279" t="s">
        <v>8</v>
      </c>
      <c r="D279" t="str">
        <f>HYPERLINK("https://www.procyclingstats.com/search.php?term=CICLISTICA+BUJESE+-+DIGAS","Cerca su PCS")</f>
        <v>Cerca su PCS</v>
      </c>
    </row>
    <row r="280" spans="1:4">
      <c r="A280" s="1">
        <v>302</v>
      </c>
      <c r="B280" t="s">
        <v>763</v>
      </c>
      <c r="C280" t="s">
        <v>8</v>
      </c>
      <c r="D280" t="str">
        <f>HYPERLINK("https://www.procyclingstats.com/search.php?term=TUDOR+PRO+CYCLING+U23","Cerca su PCS")</f>
        <v>Cerca su PCS</v>
      </c>
    </row>
    <row r="281" spans="1:4">
      <c r="A281" s="1">
        <v>303</v>
      </c>
      <c r="B281" t="s">
        <v>764</v>
      </c>
      <c r="C281" t="s">
        <v>8</v>
      </c>
      <c r="D281" t="str">
        <f>HYPERLINK("https://www.procyclingstats.com/search.php?term=U.C+TREVIGIANI+ENERGIAPURA+MARCHIOL","Cerca su PCS")</f>
        <v>Cerca su PCS</v>
      </c>
    </row>
    <row r="282" spans="1:4">
      <c r="A282" s="1">
        <v>304</v>
      </c>
      <c r="B282" t="s">
        <v>765</v>
      </c>
      <c r="C282" t="s">
        <v>8</v>
      </c>
      <c r="D282" t="str">
        <f>HYPERLINK("https://www.procyclingstats.com/search.php?term=ARA+I+SKIP+CAPITAL","Cerca su PCS")</f>
        <v>Cerca su PCS</v>
      </c>
    </row>
    <row r="283" spans="1:4">
      <c r="A283" s="1">
        <v>305</v>
      </c>
      <c r="B283" t="s">
        <v>766</v>
      </c>
      <c r="C283" t="s">
        <v>8</v>
      </c>
      <c r="D283" t="str">
        <f>HYPERLINK("https://www.procyclingstats.com/search.php?term=ASD+G.C.+SISSIO+TEAM","Cerca su PCS")</f>
        <v>Cerca su PCS</v>
      </c>
    </row>
    <row r="284" spans="1:4">
      <c r="A284" s="1">
        <v>306</v>
      </c>
      <c r="B284" t="s">
        <v>767</v>
      </c>
      <c r="C284" t="s">
        <v>8</v>
      </c>
      <c r="D284" t="str">
        <f>HYPERLINK("https://www.procyclingstats.com/search.php?term=TRIS+STAMPI+FIOR+DI+GRANO","Cerca su PCS")</f>
        <v>Cerca su PCS</v>
      </c>
    </row>
    <row r="285" spans="1:4">
      <c r="A285" s="1">
        <v>307</v>
      </c>
      <c r="B285" t="s">
        <v>768</v>
      </c>
      <c r="C285" t="s">
        <v>8</v>
      </c>
      <c r="D285" t="str">
        <f>HYPERLINK("https://www.procyclingstats.com/search.php?term=NURRI-ORROLI+MTB+A.S.D.","Cerca su PCS")</f>
        <v>Cerca su PCS</v>
      </c>
    </row>
    <row r="286" spans="1:4">
      <c r="A286" s="1">
        <v>308</v>
      </c>
      <c r="B286" t="s">
        <v>769</v>
      </c>
      <c r="C286" t="s">
        <v>8</v>
      </c>
      <c r="D286" t="str">
        <f>HYPERLINK("https://www.procyclingstats.com/search.php?term=FABIO+ARU+ACADEMY+S.R.L.+A.R.L.","Cerca su PCS")</f>
        <v>Cerca su PCS</v>
      </c>
    </row>
    <row r="287" spans="1:4">
      <c r="A287" s="1">
        <v>309</v>
      </c>
      <c r="B287" t="s">
        <v>770</v>
      </c>
      <c r="C287" t="s">
        <v>8</v>
      </c>
      <c r="D287" t="str">
        <f>HYPERLINK("https://www.procyclingstats.com/search.php?term=WCC+-+UCI+WORLD+CYCLING+CENTRE","Cerca su PCS")</f>
        <v>Cerca su PCS</v>
      </c>
    </row>
    <row r="288" spans="1:4">
      <c r="A288" s="1">
        <v>310</v>
      </c>
      <c r="B288" t="s">
        <v>771</v>
      </c>
      <c r="C288" t="s">
        <v>8</v>
      </c>
      <c r="D288" t="str">
        <f>HYPERLINK("https://www.procyclingstats.com/search.php?term=FANINI+PRO+CYCLING","Cerca su PCS")</f>
        <v>Cerca su PCS</v>
      </c>
    </row>
    <row r="289" spans="1:4">
      <c r="A289" s="1">
        <v>311</v>
      </c>
      <c r="B289" t="s">
        <v>772</v>
      </c>
      <c r="C289" t="s">
        <v>8</v>
      </c>
      <c r="D289" t="str">
        <f>HYPERLINK("https://www.procyclingstats.com/search.php?term=PERUTNINA+PTUJ","Cerca su PCS")</f>
        <v>Cerca su PCS</v>
      </c>
    </row>
    <row r="290" spans="1:4">
      <c r="A290" s="1">
        <v>312</v>
      </c>
      <c r="B290" t="s">
        <v>773</v>
      </c>
      <c r="C290" t="s">
        <v>8</v>
      </c>
      <c r="D290" t="str">
        <f>HYPERLINK("https://www.procyclingstats.com/search.php?term=TEAM+RAP+TIROL","Cerca su PCS")</f>
        <v>Cerca su PCS</v>
      </c>
    </row>
    <row r="291" spans="1:4">
      <c r="A291" s="1">
        <v>313</v>
      </c>
      <c r="B291" t="s">
        <v>774</v>
      </c>
      <c r="C291" t="s">
        <v>8</v>
      </c>
      <c r="D291" t="str">
        <f>HYPERLINK("https://www.procyclingstats.com/search.php?term=INFOCARS-ESTEMOTOR","Cerca su PCS")</f>
        <v>Cerca su PCS</v>
      </c>
    </row>
    <row r="292" spans="1:4">
      <c r="A292" s="1">
        <v>314</v>
      </c>
      <c r="B292" t="s">
        <v>775</v>
      </c>
      <c r="C292" t="s">
        <v>8</v>
      </c>
      <c r="D292" t="str">
        <f>HYPERLINK("https://www.procyclingstats.com/search.php?term=CICLISTICA+PIERIS","Cerca su PCS")</f>
        <v>Cerca su PCS</v>
      </c>
    </row>
    <row r="293" spans="1:4">
      <c r="A293" s="1">
        <v>315</v>
      </c>
      <c r="B293" t="s">
        <v>776</v>
      </c>
      <c r="C293" t="s">
        <v>8</v>
      </c>
      <c r="D293" t="str">
        <f>HYPERLINK("https://www.procyclingstats.com/search.php?term=ASD+1D++UN+DENTE+IN+PIU'","Cerca su PCS")</f>
        <v>Cerca su PCS</v>
      </c>
    </row>
    <row r="294" spans="1:4">
      <c r="A294" s="1">
        <v>316</v>
      </c>
      <c r="B294" t="s">
        <v>777</v>
      </c>
      <c r="C294" t="s">
        <v>8</v>
      </c>
      <c r="D294" t="str">
        <f>HYPERLINK("https://www.procyclingstats.com/search.php?term=PEDALE+BREMBILLESE","Cerca su PCS")</f>
        <v>Cerca su PCS</v>
      </c>
    </row>
    <row r="295" spans="1:4">
      <c r="A295" s="1">
        <v>317</v>
      </c>
      <c r="B295" t="s">
        <v>778</v>
      </c>
      <c r="C295" t="s">
        <v>8</v>
      </c>
      <c r="D295" t="str">
        <f>HYPERLINK("https://www.procyclingstats.com/search.php?term=G.S.+LUPI+VALLE+D'AOSTA","Cerca su PCS")</f>
        <v>Cerca su PCS</v>
      </c>
    </row>
    <row r="296" spans="1:4">
      <c r="A296" s="1">
        <v>318</v>
      </c>
      <c r="B296" t="s">
        <v>779</v>
      </c>
      <c r="C296" t="s">
        <v>8</v>
      </c>
      <c r="D296" t="str">
        <f>HYPERLINK("https://www.procyclingstats.com/search.php?term=POMORIE","Cerca su PCS")</f>
        <v>Cerca su PCS</v>
      </c>
    </row>
    <row r="297" spans="1:4">
      <c r="A297" s="1">
        <v>319</v>
      </c>
      <c r="B297" t="s">
        <v>780</v>
      </c>
      <c r="C297" t="s">
        <v>8</v>
      </c>
      <c r="D297" t="str">
        <f>HYPERLINK("https://www.procyclingstats.com/search.php?term=A.S.D.+GRUPPO+CICLISTICO+MATELICA","Cerca su PCS")</f>
        <v>Cerca su PCS</v>
      </c>
    </row>
    <row r="298" spans="1:4">
      <c r="A298" s="1">
        <v>320</v>
      </c>
      <c r="B298" t="s">
        <v>781</v>
      </c>
      <c r="C298" t="s">
        <v>8</v>
      </c>
      <c r="D298" t="str">
        <f>HYPERLINK("https://www.procyclingstats.com/search.php?term=S.C.+VILLA+S.ANTONIO+CICLI+COCCI","Cerca su PCS")</f>
        <v>Cerca su PCS</v>
      </c>
    </row>
    <row r="299" spans="1:4">
      <c r="A299" s="1">
        <v>321</v>
      </c>
      <c r="B299" t="s">
        <v>782</v>
      </c>
      <c r="C299" t="s">
        <v>8</v>
      </c>
      <c r="D299" t="str">
        <f>HYPERLINK("https://www.procyclingstats.com/search.php?term=A.S.D.+AVIS+BIKE+RUVO","Cerca su PCS")</f>
        <v>Cerca su PCS</v>
      </c>
    </row>
    <row r="300" spans="1:4">
      <c r="A300" s="1">
        <v>322</v>
      </c>
      <c r="B300" t="s">
        <v>783</v>
      </c>
      <c r="C300" t="s">
        <v>8</v>
      </c>
      <c r="D300" t="str">
        <f>HYPERLINK("https://www.procyclingstats.com/search.php?term=ABRUZZO+CYCLING+TEAM","Cerca su PCS")</f>
        <v>Cerca su PCS</v>
      </c>
    </row>
    <row r="301" spans="1:4">
      <c r="A301" s="1">
        <v>323</v>
      </c>
      <c r="B301" t="s">
        <v>784</v>
      </c>
      <c r="C301" t="s">
        <v>8</v>
      </c>
      <c r="D301" t="str">
        <f>HYPERLINK("https://www.procyclingstats.com/search.php?term=U.C.FOLIGNO+ASD","Cerca su PCS")</f>
        <v>Cerca su PCS</v>
      </c>
    </row>
    <row r="302" spans="1:4">
      <c r="A302" s="1">
        <v>324</v>
      </c>
      <c r="B302" t="s">
        <v>785</v>
      </c>
      <c r="C302" t="s">
        <v>8</v>
      </c>
      <c r="D302" t="str">
        <f>HYPERLINK("https://www.procyclingstats.com/search.php?term=A.S.D.+CASTIGLIONESE","Cerca su PCS")</f>
        <v>Cerca su PCS</v>
      </c>
    </row>
    <row r="303" spans="1:4">
      <c r="A303" s="1">
        <v>325</v>
      </c>
      <c r="B303" t="s">
        <v>786</v>
      </c>
      <c r="C303" t="s">
        <v>8</v>
      </c>
      <c r="D303" t="str">
        <f>HYPERLINK("https://www.procyclingstats.com/search.php?term=ALBA+BRA+LANGHE+ROERO","Cerca su PCS")</f>
        <v>Cerca su PCS</v>
      </c>
    </row>
    <row r="304" spans="1:4">
      <c r="A304" s="1">
        <v>326</v>
      </c>
      <c r="B304" t="s">
        <v>787</v>
      </c>
      <c r="C304" t="s">
        <v>8</v>
      </c>
      <c r="D304" t="str">
        <f>HYPERLINK("https://www.procyclingstats.com/search.php?term=UA'+CYCLING+TEAM","Cerca su PCS")</f>
        <v>Cerca su PCS</v>
      </c>
    </row>
    <row r="305" spans="1:4">
      <c r="A305" s="1">
        <v>327</v>
      </c>
      <c r="B305" t="s">
        <v>788</v>
      </c>
      <c r="C305" t="s">
        <v>8</v>
      </c>
      <c r="D305" t="str">
        <f>HYPERLINK("https://www.procyclingstats.com/search.php?term=ESPERIA+PIASCO","Cerca su PCS")</f>
        <v>Cerca su PCS</v>
      </c>
    </row>
    <row r="306" spans="1:4">
      <c r="A306" s="1">
        <v>328</v>
      </c>
      <c r="B306" t="s">
        <v>789</v>
      </c>
      <c r="C306" t="s">
        <v>8</v>
      </c>
      <c r="D306" t="str">
        <f>HYPERLINK("https://www.procyclingstats.com/search.php?term=TSCHERNING+CYCLING+ACADEMY","Cerca su PCS")</f>
        <v>Cerca su PCS</v>
      </c>
    </row>
    <row r="307" spans="1:4">
      <c r="A307" s="1">
        <v>329</v>
      </c>
      <c r="B307" t="s">
        <v>790</v>
      </c>
      <c r="C307" t="s">
        <v>8</v>
      </c>
      <c r="D307" t="str">
        <f>HYPERLINK("https://www.procyclingstats.com/search.php?term=AR+MONEX+WMN+PRO+CYCLING+TEAM","Cerca su PCS")</f>
        <v>Cerca su PCS</v>
      </c>
    </row>
    <row r="308" spans="1:4">
      <c r="A308" s="1">
        <v>330</v>
      </c>
      <c r="B308" t="s">
        <v>791</v>
      </c>
      <c r="C308" t="s">
        <v>8</v>
      </c>
      <c r="D308" t="str">
        <f>HYPERLINK("https://www.procyclingstats.com/search.php?term=TEAM+CINGOLANI-SPECIALIZED","Cerca su PCS")</f>
        <v>Cerca su PCS</v>
      </c>
    </row>
    <row r="309" spans="1:4">
      <c r="A309" s="1">
        <v>331</v>
      </c>
      <c r="B309" t="s">
        <v>792</v>
      </c>
      <c r="C309" t="s">
        <v>8</v>
      </c>
      <c r="D309" t="str">
        <f>HYPERLINK("https://www.procyclingstats.com/search.php?term=TORELLI+CYCLING+TEAM","Cerca su PCS")</f>
        <v>Cerca su PCS</v>
      </c>
    </row>
    <row r="310" spans="1:4">
      <c r="A310" s="1">
        <v>332</v>
      </c>
      <c r="B310" t="s">
        <v>793</v>
      </c>
      <c r="C310" t="s">
        <v>8</v>
      </c>
      <c r="D310" t="str">
        <f>HYPERLINK("https://www.procyclingstats.com/search.php?term=S.C.V.+BIKE+CADORAGO+ASD","Cerca su PCS")</f>
        <v>Cerca su PCS</v>
      </c>
    </row>
    <row r="311" spans="1:4">
      <c r="A311" s="1">
        <v>333</v>
      </c>
      <c r="B311" t="s">
        <v>794</v>
      </c>
      <c r="C311" t="s">
        <v>8</v>
      </c>
      <c r="D311" t="str">
        <f>HYPERLINK("https://www.procyclingstats.com/search.php?term=LOTTO+INTERNARCHE'+LADIES","Cerca su PCS")</f>
        <v>Cerca su PCS</v>
      </c>
    </row>
    <row r="312" spans="1:4">
      <c r="A312" s="1">
        <v>334</v>
      </c>
      <c r="B312" t="s">
        <v>795</v>
      </c>
      <c r="C312" t="s">
        <v>8</v>
      </c>
      <c r="D312" t="str">
        <f>HYPERLINK("https://www.procyclingstats.com/search.php?term=TEAM+VISMA+LEASE+A+BIKE","Cerca su PCS")</f>
        <v>Cerca su PCS</v>
      </c>
    </row>
    <row r="313" spans="1:4">
      <c r="A313" s="1">
        <v>335</v>
      </c>
      <c r="B313" t="s">
        <v>796</v>
      </c>
      <c r="C313" t="s">
        <v>8</v>
      </c>
      <c r="D313" t="str">
        <f>HYPERLINK("https://www.procyclingstats.com/search.php?term=UNO-X+MOBILITY","Cerca su PCS")</f>
        <v>Cerca su PCS</v>
      </c>
    </row>
    <row r="314" spans="1:4">
      <c r="A314" s="1">
        <v>336</v>
      </c>
      <c r="B314" t="s">
        <v>797</v>
      </c>
      <c r="C314" t="s">
        <v>8</v>
      </c>
      <c r="D314" t="str">
        <f>HYPERLINK("https://www.procyclingstats.com/search.php?term=AG+INSURANCE+SOUDAL","Cerca su PCS")</f>
        <v>Cerca su PCS</v>
      </c>
    </row>
    <row r="315" spans="1:4">
      <c r="A315" s="1">
        <v>337</v>
      </c>
      <c r="B315" t="s">
        <v>798</v>
      </c>
      <c r="C315" t="s">
        <v>8</v>
      </c>
      <c r="D315" t="str">
        <f>HYPERLINK("https://www.procyclingstats.com/search.php?term=SVIZZERA","Cerca su PCS")</f>
        <v>Cerca su PCS</v>
      </c>
    </row>
    <row r="316" spans="1:4">
      <c r="A316" s="1">
        <v>338</v>
      </c>
      <c r="B316" t="s">
        <v>799</v>
      </c>
      <c r="C316" t="s">
        <v>8</v>
      </c>
      <c r="D316" t="str">
        <f>HYPERLINK("https://www.procyclingstats.com/search.php?term=NORVEGIA","Cerca su PCS")</f>
        <v>Cerca su PCS</v>
      </c>
    </row>
    <row r="317" spans="1:4">
      <c r="A317" s="1">
        <v>339</v>
      </c>
      <c r="B317" t="s">
        <v>800</v>
      </c>
      <c r="C317" t="s">
        <v>8</v>
      </c>
      <c r="D317" t="str">
        <f>HYPERLINK("https://www.procyclingstats.com/search.php?term=OLANDA","Cerca su PCS")</f>
        <v>Cerca su PCS</v>
      </c>
    </row>
    <row r="318" spans="1:4">
      <c r="A318" s="1">
        <v>340</v>
      </c>
      <c r="B318" t="s">
        <v>801</v>
      </c>
      <c r="C318" t="s">
        <v>8</v>
      </c>
      <c r="D318" t="str">
        <f>HYPERLINK("https://www.procyclingstats.com/search.php?term=AUSTRALIA","Cerca su PCS")</f>
        <v>Cerca su PCS</v>
      </c>
    </row>
    <row r="319" spans="1:4">
      <c r="A319" s="1">
        <v>341</v>
      </c>
      <c r="B319" t="s">
        <v>802</v>
      </c>
      <c r="C319" t="s">
        <v>8</v>
      </c>
      <c r="D319" t="str">
        <f>HYPERLINK("https://www.procyclingstats.com/search.php?term=SPAGNA","Cerca su PCS")</f>
        <v>Cerca su PCS</v>
      </c>
    </row>
    <row r="320" spans="1:4">
      <c r="A320" s="1">
        <v>342</v>
      </c>
      <c r="B320" t="s">
        <v>803</v>
      </c>
      <c r="C320" t="s">
        <v>8</v>
      </c>
      <c r="D320" t="str">
        <f>HYPERLINK("https://www.procyclingstats.com/search.php?term=NAZIONALE+UCRAINA","Cerca su PCS")</f>
        <v>Cerca su PCS</v>
      </c>
    </row>
    <row r="321" spans="1:4">
      <c r="A321" s="1">
        <v>343</v>
      </c>
      <c r="B321" t="s">
        <v>804</v>
      </c>
      <c r="C321" t="s">
        <v>8</v>
      </c>
      <c r="D321" t="str">
        <f>HYPERLINK("https://www.procyclingstats.com/search.php?term=A.+D.PED.+AZZURRO.RINASCITA","Cerca su PCS")</f>
        <v>Cerca su PCS</v>
      </c>
    </row>
    <row r="322" spans="1:4">
      <c r="A322" s="1">
        <v>344</v>
      </c>
      <c r="B322" t="s">
        <v>805</v>
      </c>
      <c r="C322" t="s">
        <v>8</v>
      </c>
      <c r="D322" t="str">
        <f>HYPERLINK("https://www.procyclingstats.com/search.php?term=ASD+DP66+PINARELLO","Cerca su PCS")</f>
        <v>Cerca su PCS</v>
      </c>
    </row>
    <row r="323" spans="1:4">
      <c r="A323" s="1">
        <v>345</v>
      </c>
      <c r="B323" t="s">
        <v>806</v>
      </c>
      <c r="C323" t="s">
        <v>8</v>
      </c>
      <c r="D323" t="str">
        <f>HYPERLINK("https://www.procyclingstats.com/search.php?term=BIKE+MOVEMENT+-+TRENTINOERBE","Cerca su PCS")</f>
        <v>Cerca su PCS</v>
      </c>
    </row>
    <row r="324" spans="1:4">
      <c r="A324" s="1">
        <v>346</v>
      </c>
      <c r="B324" t="s">
        <v>807</v>
      </c>
      <c r="C324" t="s">
        <v>8</v>
      </c>
      <c r="D324" t="str">
        <f>HYPERLINK("https://www.procyclingstats.com/search.php?term=U.S.+AURORA+TRENTO","Cerca su PCS")</f>
        <v>Cerca su PCS</v>
      </c>
    </row>
    <row r="325" spans="1:4">
      <c r="A325" s="1">
        <v>347</v>
      </c>
      <c r="B325" t="s">
        <v>808</v>
      </c>
      <c r="C325" t="s">
        <v>8</v>
      </c>
      <c r="D325" t="str">
        <f>HYPERLINK("https://www.procyclingstats.com/search.php?term=POLISPORTIVA+TRIPETETOLO+SEANESE","Cerca su PCS")</f>
        <v>Cerca su PCS</v>
      </c>
    </row>
    <row r="326" spans="1:4">
      <c r="A326" s="1">
        <v>348</v>
      </c>
      <c r="B326" t="s">
        <v>809</v>
      </c>
      <c r="C326" t="s">
        <v>8</v>
      </c>
      <c r="D326" t="str">
        <f>HYPERLINK("https://www.procyclingstats.com/search.php?term=NIPPO+NUOVACOMAUTO+OBOR","Cerca su PCS")</f>
        <v>Cerca su PCS</v>
      </c>
    </row>
    <row r="327" spans="1:4">
      <c r="A327" s="1">
        <v>349</v>
      </c>
      <c r="B327" t="s">
        <v>810</v>
      </c>
      <c r="C327" t="s">
        <v>8</v>
      </c>
      <c r="D327" t="str">
        <f>HYPERLINK("https://www.procyclingstats.com/search.php?term=GARLASCHESE+A.S.D.","Cerca su PCS")</f>
        <v>Cerca su PCS</v>
      </c>
    </row>
    <row r="328" spans="1:4">
      <c r="A328" s="1">
        <v>350</v>
      </c>
      <c r="B328" t="s">
        <v>811</v>
      </c>
      <c r="C328" t="s">
        <v>8</v>
      </c>
      <c r="D328" t="str">
        <f>HYPERLINK("https://www.procyclingstats.com/search.php?term=ST+MICHEL-PREFERENCE+HOME-AUBER93","Cerca su PCS")</f>
        <v>Cerca su PCS</v>
      </c>
    </row>
    <row r="329" spans="1:4">
      <c r="A329" s="1">
        <v>351</v>
      </c>
      <c r="B329" t="s">
        <v>812</v>
      </c>
      <c r="C329" t="s">
        <v>8</v>
      </c>
      <c r="D329" t="str">
        <f>HYPERLINK("https://www.procyclingstats.com/search.php?term=TEAM+PICNIC+POSTNL","Cerca su PCS")</f>
        <v>Cerca su PCS</v>
      </c>
    </row>
    <row r="330" spans="1:4">
      <c r="A330" s="1">
        <v>352</v>
      </c>
      <c r="B330" t="s">
        <v>813</v>
      </c>
      <c r="C330" t="s">
        <v>8</v>
      </c>
      <c r="D330" t="str">
        <f>HYPERLINK("https://www.procyclingstats.com/search.php?term=MBH+BANK+CYCLING+TEAM+JUNIOR","Cerca su PCS")</f>
        <v>Cerca su PCS</v>
      </c>
    </row>
    <row r="331" spans="1:4">
      <c r="A331" s="1">
        <v>353</v>
      </c>
      <c r="B331" t="s">
        <v>814</v>
      </c>
      <c r="C331" t="s">
        <v>8</v>
      </c>
      <c r="D331" t="str">
        <f>HYPERLINK("https://www.procyclingstats.com/search.php?term=U.C.MONACO","Cerca su PCS")</f>
        <v>Cerca su PCS</v>
      </c>
    </row>
    <row r="332" spans="1:4">
      <c r="A332" s="1">
        <v>354</v>
      </c>
      <c r="B332" t="s">
        <v>815</v>
      </c>
      <c r="C332" t="s">
        <v>8</v>
      </c>
      <c r="D332" t="str">
        <f>HYPERLINK("https://www.procyclingstats.com/search.php?term=BLU+TEAM","Cerca su PCS")</f>
        <v>Cerca su PCS</v>
      </c>
    </row>
    <row r="333" spans="1:4">
      <c r="A333" s="1">
        <v>355</v>
      </c>
      <c r="B333" t="s">
        <v>816</v>
      </c>
      <c r="C333" t="s">
        <v>8</v>
      </c>
      <c r="D333" t="str">
        <f>HYPERLINK("https://www.procyclingstats.com/search.php?term=BIKERS+PETOSINO+SCUOLA+MTB","Cerca su PCS")</f>
        <v>Cerca su PCS</v>
      </c>
    </row>
    <row r="334" spans="1:4">
      <c r="A334" s="1">
        <v>356</v>
      </c>
      <c r="B334" t="s">
        <v>817</v>
      </c>
      <c r="C334" t="s">
        <v>8</v>
      </c>
      <c r="D334" t="str">
        <f>HYPERLINK("https://www.procyclingstats.com/search.php?term=ASD+TIRRENO+BIKE+CICLI+FATATO","Cerca su PCS")</f>
        <v>Cerca su PCS</v>
      </c>
    </row>
    <row r="335" spans="1:4">
      <c r="A335" s="1">
        <v>357</v>
      </c>
      <c r="B335" t="s">
        <v>818</v>
      </c>
      <c r="C335" t="s">
        <v>8</v>
      </c>
      <c r="D335" t="str">
        <f>HYPERLINK("https://www.procyclingstats.com/search.php?term=FLESSOFAB","Cerca su PCS")</f>
        <v>Cerca su PCS</v>
      </c>
    </row>
    <row r="336" spans="1:4">
      <c r="A336" s="1">
        <v>358</v>
      </c>
      <c r="B336" t="s">
        <v>819</v>
      </c>
      <c r="C336" t="s">
        <v>8</v>
      </c>
      <c r="D336" t="str">
        <f>HYPERLINK("https://www.procyclingstats.com/search.php?term=PROFBIKE+ANGRI+CYCLING+TEAM","Cerca su PCS")</f>
        <v>Cerca su PCS</v>
      </c>
    </row>
    <row r="337" spans="1:4">
      <c r="A337" s="1">
        <v>359</v>
      </c>
      <c r="B337" t="s">
        <v>820</v>
      </c>
      <c r="C337" t="s">
        <v>8</v>
      </c>
      <c r="D337" t="str">
        <f>HYPERLINK("https://www.procyclingstats.com/search.php?term=A.S.D.+MONTICELLI+BIKE","Cerca su PCS")</f>
        <v>Cerca su PCS</v>
      </c>
    </row>
    <row r="338" spans="1:4">
      <c r="A338" s="1">
        <v>360</v>
      </c>
      <c r="B338" t="s">
        <v>821</v>
      </c>
      <c r="C338" t="s">
        <v>8</v>
      </c>
      <c r="D338" t="str">
        <f>HYPERLINK("https://www.procyclingstats.com/search.php?term=ASD+CAMPOBELLO+RUNNING+&amp;+BIKE","Cerca su PCS")</f>
        <v>Cerca su PCS</v>
      </c>
    </row>
    <row r="339" spans="1:4">
      <c r="A339" s="1">
        <v>361</v>
      </c>
      <c r="B339" t="s">
        <v>822</v>
      </c>
      <c r="C339" t="s">
        <v>8</v>
      </c>
      <c r="D339" t="str">
        <f>HYPERLINK("https://www.procyclingstats.com/search.php?term=DEKA+RIDERS+TEAM+ASD","Cerca su PCS")</f>
        <v>Cerca su PCS</v>
      </c>
    </row>
    <row r="340" spans="1:4">
      <c r="A340" s="1">
        <v>362</v>
      </c>
      <c r="B340" t="s">
        <v>823</v>
      </c>
      <c r="C340" t="s">
        <v>8</v>
      </c>
      <c r="D340" t="str">
        <f>HYPERLINK("https://www.procyclingstats.com/search.php?term=ASD+DONORI+BIKE+TEAM","Cerca su PCS")</f>
        <v>Cerca su PCS</v>
      </c>
    </row>
    <row r="341" spans="1:4">
      <c r="A341" s="1">
        <v>363</v>
      </c>
      <c r="B341" t="s">
        <v>824</v>
      </c>
      <c r="C341" t="s">
        <v>8</v>
      </c>
      <c r="D341" t="str">
        <f>HYPERLINK("https://www.procyclingstats.com/search.php?term=ZHIRAF","Cerca su PCS")</f>
        <v>Cerca su PCS</v>
      </c>
    </row>
    <row r="342" spans="1:4">
      <c r="A342" s="1">
        <v>364</v>
      </c>
      <c r="B342" t="s">
        <v>825</v>
      </c>
      <c r="C342" t="s">
        <v>8</v>
      </c>
      <c r="D342" t="str">
        <f>HYPERLINK("https://www.procyclingstats.com/search.php?term=A.S.D+CICLISTICA+G.BONZAGNI","Cerca su PCS")</f>
        <v>Cerca su PCS</v>
      </c>
    </row>
    <row r="343" spans="1:4">
      <c r="A343" s="1">
        <v>365</v>
      </c>
      <c r="B343" t="s">
        <v>826</v>
      </c>
      <c r="C343" t="s">
        <v>8</v>
      </c>
      <c r="D343" t="str">
        <f>HYPERLINK("https://www.procyclingstats.com/search.php?term=TEAM+GO+FAST+PUGLIA+ARADEO","Cerca su PCS")</f>
        <v>Cerca su PCS</v>
      </c>
    </row>
    <row r="344" spans="1:4">
      <c r="A344" s="1">
        <v>366</v>
      </c>
      <c r="B344" t="s">
        <v>827</v>
      </c>
      <c r="C344" t="s">
        <v>8</v>
      </c>
      <c r="D344" t="str">
        <f>HYPERLINK("https://www.procyclingstats.com/search.php?term=V.C.+CITTA'+DI+MAROSTICA","Cerca su PCS")</f>
        <v>Cerca su PCS</v>
      </c>
    </row>
    <row r="345" spans="1:4">
      <c r="A345" s="1">
        <v>367</v>
      </c>
      <c r="B345" t="s">
        <v>828</v>
      </c>
      <c r="C345" t="s">
        <v>8</v>
      </c>
      <c r="D345" t="str">
        <f>HYPERLINK("https://www.procyclingstats.com/search.php?term=LEO+CONSTRUCTIONS+SSD","Cerca su PCS")</f>
        <v>Cerca su PCS</v>
      </c>
    </row>
    <row r="346" spans="1:4">
      <c r="A346" s="1">
        <v>368</v>
      </c>
      <c r="B346" t="s">
        <v>829</v>
      </c>
      <c r="C346" t="s">
        <v>8</v>
      </c>
      <c r="D346" t="str">
        <f>HYPERLINK("https://www.procyclingstats.com/search.php?term=ASD+FK-BIKE+SCORRANO","Cerca su PCS")</f>
        <v>Cerca su PCS</v>
      </c>
    </row>
    <row r="347" spans="1:4">
      <c r="A347" s="1">
        <v>369</v>
      </c>
      <c r="B347" t="s">
        <v>830</v>
      </c>
      <c r="C347" t="s">
        <v>8</v>
      </c>
      <c r="D347" t="str">
        <f>HYPERLINK("https://www.procyclingstats.com/search.php?term=SCUOLA+DI+CICLISMO+FRANCO+BALLERINI","Cerca su PCS")</f>
        <v>Cerca su PCS</v>
      </c>
    </row>
    <row r="348" spans="1:4">
      <c r="A348" s="1">
        <v>370</v>
      </c>
      <c r="B348" t="s">
        <v>831</v>
      </c>
      <c r="C348" t="s">
        <v>8</v>
      </c>
      <c r="D348" t="str">
        <f>HYPERLINK("https://www.procyclingstats.com/search.php?term=POL+ASD+RE-CYCLING","Cerca su PCS")</f>
        <v>Cerca su PCS</v>
      </c>
    </row>
    <row r="349" spans="1:4">
      <c r="A349" s="1">
        <v>371</v>
      </c>
      <c r="B349" t="s">
        <v>832</v>
      </c>
      <c r="C349" t="s">
        <v>8</v>
      </c>
      <c r="D349" t="str">
        <f>HYPERLINK("https://www.procyclingstats.com/search.php?term=MOTOSTAFFETTE+POTENZA","Cerca su PCS")</f>
        <v>Cerca su PCS</v>
      </c>
    </row>
    <row r="350" spans="1:4">
      <c r="A350" s="1">
        <v>372</v>
      </c>
      <c r="B350" t="s">
        <v>833</v>
      </c>
      <c r="C350" t="s">
        <v>8</v>
      </c>
      <c r="D350" t="str">
        <f>HYPERLINK("https://www.procyclingstats.com/search.php?term=A.S.D.+LUDOBIKE+SCUOLA+DI+CICLISMO","Cerca su PCS")</f>
        <v>Cerca su PCS</v>
      </c>
    </row>
    <row r="351" spans="1:4">
      <c r="A351" s="1">
        <v>373</v>
      </c>
      <c r="B351" t="s">
        <v>834</v>
      </c>
      <c r="C351" t="s">
        <v>8</v>
      </c>
      <c r="D351" t="str">
        <f>HYPERLINK("https://www.procyclingstats.com/search.php?term=BELGIO","Cerca su PCS")</f>
        <v>Cerca su PCS</v>
      </c>
    </row>
    <row r="352" spans="1:4">
      <c r="A352" s="1">
        <v>374</v>
      </c>
      <c r="B352" t="s">
        <v>835</v>
      </c>
      <c r="C352" t="s">
        <v>8</v>
      </c>
      <c r="D352" t="str">
        <f>HYPERLINK("https://www.procyclingstats.com/search.php?term=KK+NOVO+MESTO","Cerca su PCS")</f>
        <v>Cerca su PCS</v>
      </c>
    </row>
    <row r="353" spans="1:4">
      <c r="A353" s="1">
        <v>375</v>
      </c>
      <c r="B353" t="s">
        <v>836</v>
      </c>
      <c r="C353" t="s">
        <v>8</v>
      </c>
      <c r="D353" t="str">
        <f>HYPERLINK("https://www.procyclingstats.com/search.php?term=AXION+FUTURE+TEAM","Cerca su PCS")</f>
        <v>Cerca su PCS</v>
      </c>
    </row>
    <row r="354" spans="1:4">
      <c r="A354" s="1">
        <v>376</v>
      </c>
      <c r="B354" t="s">
        <v>837</v>
      </c>
      <c r="C354" t="s">
        <v>8</v>
      </c>
      <c r="D354" t="str">
        <f>HYPERLINK("https://www.procyclingstats.com/search.php?term=UNIONE+CICLISTICA+OSSANESGA","Cerca su PCS")</f>
        <v>Cerca su PCS</v>
      </c>
    </row>
    <row r="355" spans="1:4">
      <c r="A355" s="1">
        <v>377</v>
      </c>
      <c r="B355" t="s">
        <v>838</v>
      </c>
      <c r="C355" t="s">
        <v>8</v>
      </c>
      <c r="D355" t="str">
        <f>HYPERLINK("https://www.procyclingstats.com/search.php?term=SKOLA++BCKLIZMA++ZAGREB","Cerca su PCS")</f>
        <v>Cerca su PCS</v>
      </c>
    </row>
    <row r="356" spans="1:4">
      <c r="A356" s="1">
        <v>378</v>
      </c>
      <c r="B356" t="s">
        <v>839</v>
      </c>
      <c r="C356" t="s">
        <v>8</v>
      </c>
      <c r="D356" t="str">
        <f>HYPERLINK("https://www.procyclingstats.com/search.php?term=V+CYCLING+ACADEMY+S.S.D.+A+R.L.","Cerca su PCS")</f>
        <v>Cerca su PCS</v>
      </c>
    </row>
    <row r="357" spans="1:4">
      <c r="A357" s="1">
        <v>379</v>
      </c>
      <c r="B357" t="s">
        <v>840</v>
      </c>
      <c r="C357" t="s">
        <v>8</v>
      </c>
      <c r="D357" t="str">
        <f>HYPERLINK("https://www.procyclingstats.com/search.php?term=ASD+NADIR+ON+THE+ROAD","Cerca su PCS")</f>
        <v>Cerca su PCS</v>
      </c>
    </row>
    <row r="358" spans="1:4">
      <c r="A358" s="1">
        <v>380</v>
      </c>
      <c r="B358" t="s">
        <v>841</v>
      </c>
      <c r="C358" t="s">
        <v>8</v>
      </c>
      <c r="D358" t="str">
        <f>HYPERLINK("https://www.procyclingstats.com/search.php?term=ASSAGO+TEAM+EVOLUTION","Cerca su PCS")</f>
        <v>Cerca su PCS</v>
      </c>
    </row>
    <row r="359" spans="1:4">
      <c r="A359" s="1">
        <v>381</v>
      </c>
      <c r="B359" t="s">
        <v>842</v>
      </c>
      <c r="C359" t="s">
        <v>8</v>
      </c>
      <c r="D359" t="str">
        <f>HYPERLINK("https://www.procyclingstats.com/search.php?term=ASD+VELO+CLUB+AVEZZANO+BIKE+LINEAORO","Cerca su PCS")</f>
        <v>Cerca su PCS</v>
      </c>
    </row>
    <row r="360" spans="1:4">
      <c r="A360" s="1">
        <v>382</v>
      </c>
      <c r="B360" t="s">
        <v>843</v>
      </c>
      <c r="C360" t="s">
        <v>8</v>
      </c>
      <c r="D360" t="str">
        <f>HYPERLINK("https://www.procyclingstats.com/search.php?term=SLOVENIA+NATIONAL+TEAM","Cerca su PCS")</f>
        <v>Cerca su PCS</v>
      </c>
    </row>
    <row r="361" spans="1:4">
      <c r="A361" s="1">
        <v>383</v>
      </c>
      <c r="B361" t="s">
        <v>844</v>
      </c>
      <c r="C361" t="s">
        <v>8</v>
      </c>
      <c r="D361" t="str">
        <f>HYPERLINK("https://www.procyclingstats.com/search.php?term=ACADEMY+U19+REGION+SUD","Cerca su PCS")</f>
        <v>Cerca su PCS</v>
      </c>
    </row>
    <row r="362" spans="1:4">
      <c r="A362" s="1">
        <v>384</v>
      </c>
      <c r="B362" t="s">
        <v>845</v>
      </c>
      <c r="C362" t="s">
        <v>8</v>
      </c>
      <c r="D362" t="str">
        <f>HYPERLINK("https://www.procyclingstats.com/search.php?term=NEUTRAL+TEAM","Cerca su PCS")</f>
        <v>Cerca su PCS</v>
      </c>
    </row>
    <row r="363" spans="1:4">
      <c r="A363" s="1">
        <v>385</v>
      </c>
      <c r="B363" t="s">
        <v>846</v>
      </c>
      <c r="C363" t="s">
        <v>8</v>
      </c>
      <c r="D363" t="str">
        <f>HYPERLINK("https://www.procyclingstats.com/search.php?term=OVERALL+TRE+COLLI+CYCLING+TEAM","Cerca su PCS")</f>
        <v>Cerca su PCS</v>
      </c>
    </row>
    <row r="364" spans="1:4">
      <c r="A364" s="1">
        <v>386</v>
      </c>
      <c r="B364" t="s">
        <v>847</v>
      </c>
      <c r="C364" t="s">
        <v>8</v>
      </c>
      <c r="D364" t="str">
        <f>HYPERLINK("https://www.procyclingstats.com/search.php?term=PC+BAIX+EBRE+TORTOSA","Cerca su PCS")</f>
        <v>Cerca su PCS</v>
      </c>
    </row>
    <row r="365" spans="1:4">
      <c r="A365" s="1">
        <v>387</v>
      </c>
      <c r="B365" t="s">
        <v>848</v>
      </c>
      <c r="C365" t="s">
        <v>8</v>
      </c>
      <c r="D365" t="str">
        <f>HYPERLINK("https://www.procyclingstats.com/search.php?term=BMX+CLUB+SARRIANS","Cerca su PCS")</f>
        <v>Cerca su PCS</v>
      </c>
    </row>
    <row r="366" spans="1:4">
      <c r="A366" s="1">
        <v>388</v>
      </c>
      <c r="B366" t="s">
        <v>849</v>
      </c>
      <c r="C366" t="s">
        <v>8</v>
      </c>
      <c r="D366" t="str">
        <f>HYPERLINK("https://www.procyclingstats.com/search.php?term=TEAM+ESSERE","Cerca su PCS")</f>
        <v>Cerca su PCS</v>
      </c>
    </row>
    <row r="367" spans="1:4">
      <c r="A367" s="1">
        <v>389</v>
      </c>
      <c r="B367" t="s">
        <v>850</v>
      </c>
      <c r="C367" t="s">
        <v>8</v>
      </c>
      <c r="D367" t="str">
        <f>HYPERLINK("https://www.procyclingstats.com/search.php?term=PRO.GI.T.+CYCLING+TEAM","Cerca su PCS")</f>
        <v>Cerca su PCS</v>
      </c>
    </row>
    <row r="368" spans="1:4">
      <c r="A368" s="1">
        <v>390</v>
      </c>
      <c r="B368" t="s">
        <v>851</v>
      </c>
      <c r="C368" t="s">
        <v>8</v>
      </c>
      <c r="D368" t="str">
        <f>HYPERLINK("https://www.procyclingstats.com/search.php?term=ARKITANO+MTB+CLUB","Cerca su PCS")</f>
        <v>Cerca su PCS</v>
      </c>
    </row>
    <row r="369" spans="1:4">
      <c r="A369" s="1">
        <v>391</v>
      </c>
      <c r="B369" t="s">
        <v>852</v>
      </c>
      <c r="C369" t="s">
        <v>8</v>
      </c>
      <c r="D369" t="str">
        <f>HYPERLINK("https://www.procyclingstats.com/search.php?term=ASD+TEAM+FEMMINILE+TRENTINO","Cerca su PCS")</f>
        <v>Cerca su PCS</v>
      </c>
    </row>
    <row r="370" spans="1:4">
      <c r="A370" s="1">
        <v>392</v>
      </c>
      <c r="B370" t="s">
        <v>853</v>
      </c>
      <c r="C370" t="s">
        <v>8</v>
      </c>
      <c r="D370" t="str">
        <f>HYPERLINK("https://www.procyclingstats.com/search.php?term=ENERGY+TEAM+A.S.D.","Cerca su PCS")</f>
        <v>Cerca su PCS</v>
      </c>
    </row>
    <row r="371" spans="1:4">
      <c r="A371" s="1">
        <v>393</v>
      </c>
      <c r="B371" t="s">
        <v>854</v>
      </c>
      <c r="C371" t="s">
        <v>8</v>
      </c>
      <c r="D371" t="str">
        <f>HYPERLINK("https://www.procyclingstats.com/search.php?term=MTB+ACADEMY+GIAVENO","Cerca su PCS")</f>
        <v>Cerca su PCS</v>
      </c>
    </row>
    <row r="372" spans="1:4">
      <c r="A372" s="1">
        <v>394</v>
      </c>
      <c r="B372" t="s">
        <v>855</v>
      </c>
      <c r="C372" t="s">
        <v>8</v>
      </c>
      <c r="D372" t="str">
        <f>HYPERLINK("https://www.procyclingstats.com/search.php?term=S.C.+ORINESE+A.S.D.","Cerca su PCS")</f>
        <v>Cerca su PCS</v>
      </c>
    </row>
    <row r="373" spans="1:4">
      <c r="A373" s="1">
        <v>395</v>
      </c>
      <c r="B373" t="s">
        <v>856</v>
      </c>
      <c r="C373" t="s">
        <v>8</v>
      </c>
      <c r="D373" t="str">
        <f>HYPERLINK("https://www.procyclingstats.com/search.php?term=BANNIA+ASS.SPORT.DILETT.","Cerca su PCS")</f>
        <v>Cerca su PCS</v>
      </c>
    </row>
    <row r="374" spans="1:4">
      <c r="A374" s="1">
        <v>396</v>
      </c>
      <c r="B374" t="s">
        <v>857</v>
      </c>
      <c r="C374" t="s">
        <v>8</v>
      </c>
      <c r="D374" t="str">
        <f>HYPERLINK("https://www.procyclingstats.com/search.php?term=RKC+ROMAN+KREUZIGER","Cerca su PCS")</f>
        <v>Cerca su PCS</v>
      </c>
    </row>
    <row r="375" spans="1:4">
      <c r="A375" s="1">
        <v>397</v>
      </c>
      <c r="B375" t="s">
        <v>858</v>
      </c>
      <c r="C375" t="s">
        <v>8</v>
      </c>
      <c r="D375" t="str">
        <f>HYPERLINK("https://www.procyclingstats.com/search.php?term=AUSTRIA","Cerca su PCS")</f>
        <v>Cerca su PCS</v>
      </c>
    </row>
    <row r="376" spans="1:4">
      <c r="A376" s="1">
        <v>398</v>
      </c>
      <c r="B376" t="s">
        <v>859</v>
      </c>
      <c r="C376" t="s">
        <v>8</v>
      </c>
      <c r="D376" t="str">
        <f>HYPERLINK("https://www.procyclingstats.com/search.php?term=CANADA","Cerca su PCS")</f>
        <v>Cerca su PCS</v>
      </c>
    </row>
    <row r="377" spans="1:4">
      <c r="A377" s="1">
        <v>399</v>
      </c>
      <c r="B377" t="s">
        <v>860</v>
      </c>
      <c r="C377" t="s">
        <v>8</v>
      </c>
      <c r="D377" t="str">
        <f>HYPERLINK("https://www.procyclingstats.com/search.php?term=FRANCIA","Cerca su PCS")</f>
        <v>Cerca su PCS</v>
      </c>
    </row>
    <row r="378" spans="1:4">
      <c r="A378" s="1">
        <v>400</v>
      </c>
      <c r="B378" t="s">
        <v>861</v>
      </c>
      <c r="C378" t="s">
        <v>8</v>
      </c>
      <c r="D378" t="str">
        <f>HYPERLINK("https://www.procyclingstats.com/search.php?term=STATI+UNITI","Cerca su PCS")</f>
        <v>Cerca su PCS</v>
      </c>
    </row>
    <row r="379" spans="1:4">
      <c r="A379" s="1">
        <v>401</v>
      </c>
      <c r="B379" t="s">
        <v>862</v>
      </c>
      <c r="C379" t="s">
        <v>8</v>
      </c>
      <c r="D379" t="str">
        <f>HYPERLINK("https://www.procyclingstats.com/search.php?term=REPUBBLICA+CECA","Cerca su PCS")</f>
        <v>Cerca su PCS</v>
      </c>
    </row>
    <row r="380" spans="1:4">
      <c r="A380" s="1">
        <v>402</v>
      </c>
      <c r="B380" t="s">
        <v>863</v>
      </c>
      <c r="C380" t="s">
        <v>8</v>
      </c>
      <c r="D380" t="str">
        <f>HYPERLINK("https://www.procyclingstats.com/search.php?term=GERMANIA","Cerca su PCS")</f>
        <v>Cerca su PCS</v>
      </c>
    </row>
    <row r="381" spans="1:4">
      <c r="A381" s="1">
        <v>403</v>
      </c>
      <c r="B381" t="s">
        <v>864</v>
      </c>
      <c r="C381" t="s">
        <v>8</v>
      </c>
      <c r="D381" t="str">
        <f>HYPERLINK("https://www.procyclingstats.com/search.php?term=S.C.+VALLE+SERIANA+-+CENE+A.S.D.","Cerca su PCS")</f>
        <v>Cerca su PCS</v>
      </c>
    </row>
    <row r="382" spans="1:4">
      <c r="A382" s="1">
        <v>404</v>
      </c>
      <c r="B382" t="s">
        <v>865</v>
      </c>
      <c r="C382" t="s">
        <v>8</v>
      </c>
      <c r="D382" t="str">
        <f>HYPERLINK("https://www.procyclingstats.com/search.php?term=ESTONIA","Cerca su PCS")</f>
        <v>Cerca su PCS</v>
      </c>
    </row>
    <row r="383" spans="1:4">
      <c r="A383" s="1">
        <v>405</v>
      </c>
      <c r="B383" t="s">
        <v>866</v>
      </c>
      <c r="C383" t="s">
        <v>8</v>
      </c>
      <c r="D383" t="str">
        <f>HYPERLINK("https://www.procyclingstats.com/search.php?term=DANIMARCA","Cerca su PCS")</f>
        <v>Cerca su PCS</v>
      </c>
    </row>
    <row r="384" spans="1:4">
      <c r="A384" s="1">
        <v>406</v>
      </c>
      <c r="B384" t="s">
        <v>867</v>
      </c>
      <c r="C384" t="s">
        <v>8</v>
      </c>
      <c r="D384" t="str">
        <f>HYPERLINK("https://www.procyclingstats.com/search.php?term=LETTONIA","Cerca su PCS")</f>
        <v>Cerca su PCS</v>
      </c>
    </row>
    <row r="385" spans="1:4">
      <c r="A385" s="1">
        <v>407</v>
      </c>
      <c r="B385" t="s">
        <v>868</v>
      </c>
      <c r="C385" t="s">
        <v>8</v>
      </c>
      <c r="D385" t="str">
        <f>HYPERLINK("https://www.procyclingstats.com/search.php?term=LUSSEMBURGO","Cerca su PCS")</f>
        <v>Cerca su PCS</v>
      </c>
    </row>
    <row r="386" spans="1:4">
      <c r="A386" s="1">
        <v>408</v>
      </c>
      <c r="B386" t="s">
        <v>869</v>
      </c>
      <c r="C386" t="s">
        <v>8</v>
      </c>
      <c r="D386" t="str">
        <f>HYPERLINK("https://www.procyclingstats.com/search.php?term=IRLANDA","Cerca su PCS")</f>
        <v>Cerca su PCS</v>
      </c>
    </row>
    <row r="387" spans="1:4">
      <c r="A387" s="1">
        <v>409</v>
      </c>
      <c r="B387" t="s">
        <v>870</v>
      </c>
      <c r="C387" t="s">
        <v>8</v>
      </c>
      <c r="D387" t="str">
        <f>HYPERLINK("https://www.procyclingstats.com/search.php?term=SVEZIA","Cerca su PCS")</f>
        <v>Cerca su PCS</v>
      </c>
    </row>
    <row r="388" spans="1:4">
      <c r="A388" s="1">
        <v>410</v>
      </c>
      <c r="B388" t="s">
        <v>871</v>
      </c>
      <c r="C388" t="s">
        <v>8</v>
      </c>
      <c r="D388" t="str">
        <f>HYPERLINK("https://www.procyclingstats.com/search.php?term=UCRAINA","Cerca su PCS")</f>
        <v>Cerca su PCS</v>
      </c>
    </row>
    <row r="389" spans="1:4">
      <c r="A389" s="1">
        <v>411</v>
      </c>
      <c r="B389" t="s">
        <v>872</v>
      </c>
      <c r="C389" t="s">
        <v>8</v>
      </c>
      <c r="D389" t="str">
        <f>HYPERLINK("https://www.procyclingstats.com/search.php?term=ASC+KARDAUN-CARDANO","Cerca su PCS")</f>
        <v>Cerca su PCS</v>
      </c>
    </row>
    <row r="390" spans="1:4">
      <c r="A390" s="1">
        <v>412</v>
      </c>
      <c r="B390" t="s">
        <v>873</v>
      </c>
      <c r="C390" t="s">
        <v>8</v>
      </c>
      <c r="D390" t="str">
        <f>HYPERLINK("https://www.procyclingstats.com/search.php?term=ACS+OLIMPIC+ZARNESTI","Cerca su PCS")</f>
        <v>Cerca su PCS</v>
      </c>
    </row>
    <row r="391" spans="1:4">
      <c r="A391" s="1">
        <v>413</v>
      </c>
      <c r="B391" t="s">
        <v>874</v>
      </c>
      <c r="C391" t="s">
        <v>8</v>
      </c>
      <c r="D391" t="str">
        <f>HYPERLINK("https://www.procyclingstats.com/search.php?term=BK+RIJEKA","Cerca su PCS")</f>
        <v>Cerca su PCS</v>
      </c>
    </row>
    <row r="392" spans="1:4">
      <c r="A392" s="1">
        <v>414</v>
      </c>
      <c r="B392" t="s">
        <v>875</v>
      </c>
      <c r="C392" t="s">
        <v>8</v>
      </c>
      <c r="D392" t="str">
        <f>HYPERLINK("https://www.procyclingstats.com/search.php?term=SOUDAL+QUICK-STEP+JUNIOR+TEAM","Cerca su PCS")</f>
        <v>Cerca su PCS</v>
      </c>
    </row>
    <row r="393" spans="1:4">
      <c r="A393" s="1">
        <v>415</v>
      </c>
      <c r="B393" t="s">
        <v>876</v>
      </c>
      <c r="C393" t="s">
        <v>8</v>
      </c>
      <c r="D393" t="str">
        <f>HYPERLINK("https://www.procyclingstats.com/search.php?term=GI+ESSE+PRO+CYCLING","Cerca su PCS")</f>
        <v>Cerca su PCS</v>
      </c>
    </row>
    <row r="394" spans="1:4">
      <c r="A394" s="1">
        <v>416</v>
      </c>
      <c r="B394" t="s">
        <v>877</v>
      </c>
      <c r="C394" t="s">
        <v>8</v>
      </c>
      <c r="D394" t="str">
        <f>HYPERLINK("https://www.procyclingstats.com/search.php?term=GS+OLIMPIA+VALDARNESE","Cerca su PCS")</f>
        <v>Cerca su PCS</v>
      </c>
    </row>
    <row r="395" spans="1:4">
      <c r="A395" s="1">
        <v>417</v>
      </c>
      <c r="B395" t="s">
        <v>878</v>
      </c>
      <c r="C395" t="s">
        <v>8</v>
      </c>
      <c r="D395" t="str">
        <f>HYPERLINK("https://www.procyclingstats.com/search.php?term=PETROLIKE","Cerca su PCS")</f>
        <v>Cerca su PCS</v>
      </c>
    </row>
    <row r="396" spans="1:4">
      <c r="A396" s="1">
        <v>418</v>
      </c>
      <c r="B396" t="s">
        <v>879</v>
      </c>
      <c r="C396" t="s">
        <v>8</v>
      </c>
      <c r="D396" t="str">
        <f>HYPERLINK("https://www.procyclingstats.com/search.php?term=NEXETIS+TEAM","Cerca su PCS")</f>
        <v>Cerca su PCS</v>
      </c>
    </row>
    <row r="397" spans="1:4">
      <c r="A397" s="1">
        <v>419</v>
      </c>
      <c r="B397" t="s">
        <v>880</v>
      </c>
      <c r="C397" t="s">
        <v>8</v>
      </c>
      <c r="D397" t="str">
        <f>HYPERLINK("https://www.procyclingstats.com/search.php?term=UAE+DEVELOPMENT+TEAM","Cerca su PCS")</f>
        <v>Cerca su PCS</v>
      </c>
    </row>
    <row r="398" spans="1:4">
      <c r="A398" s="1">
        <v>420</v>
      </c>
      <c r="B398" t="s">
        <v>881</v>
      </c>
      <c r="C398" t="s">
        <v>8</v>
      </c>
      <c r="D398" t="str">
        <f>HYPERLINK("https://www.procyclingstats.com/search.php?term=NAZIONALE+PARALIMPICA","Cerca su PCS")</f>
        <v>Cerca su PCS</v>
      </c>
    </row>
    <row r="399" spans="1:4">
      <c r="A399" s="1">
        <v>421</v>
      </c>
      <c r="B399" t="s">
        <v>882</v>
      </c>
      <c r="C399" t="s">
        <v>8</v>
      </c>
      <c r="D399" t="str">
        <f>HYPERLINK("https://www.procyclingstats.com/search.php?term=U.C.+PREGNANA","Cerca su PCS")</f>
        <v>Cerca su PCS</v>
      </c>
    </row>
    <row r="400" spans="1:4">
      <c r="A400" s="1">
        <v>422</v>
      </c>
      <c r="B400" t="s">
        <v>883</v>
      </c>
      <c r="C400" t="s">
        <v>8</v>
      </c>
      <c r="D400" t="str">
        <f>HYPERLINK("https://www.procyclingstats.com/search.php?term=TEAM+MAZZOLA+P.G.C.+U23","Cerca su PCS")</f>
        <v>Cerca su PCS</v>
      </c>
    </row>
    <row r="401" spans="1:4">
      <c r="A401" s="1">
        <v>423</v>
      </c>
      <c r="B401" t="s">
        <v>884</v>
      </c>
      <c r="C401" t="s">
        <v>8</v>
      </c>
      <c r="D401" t="str">
        <f>HYPERLINK("https://www.procyclingstats.com/search.php?term=GIFU+DAIICHI+HIGH+SCHOOL","Cerca su PCS")</f>
        <v>Cerca su PCS</v>
      </c>
    </row>
    <row r="402" spans="1:4">
      <c r="A402" s="1">
        <v>424</v>
      </c>
      <c r="B402" t="s">
        <v>885</v>
      </c>
      <c r="C402" t="s">
        <v>8</v>
      </c>
      <c r="D402" t="str">
        <f>HYPERLINK("https://www.procyclingstats.com/search.php?term=GIALETO+CICLISMO","Cerca su PCS")</f>
        <v>Cerca su PCS</v>
      </c>
    </row>
    <row r="403" spans="1:4">
      <c r="A403" s="1">
        <v>425</v>
      </c>
      <c r="B403" t="s">
        <v>886</v>
      </c>
      <c r="C403" t="s">
        <v>8</v>
      </c>
      <c r="D403" t="str">
        <f>HYPERLINK("https://www.procyclingstats.com/search.php?term=A.S.D.+U.C.+PISTOIESE+TEAM","Cerca su PCS")</f>
        <v>Cerca su PCS</v>
      </c>
    </row>
    <row r="404" spans="1:4">
      <c r="A404" s="1">
        <v>426</v>
      </c>
      <c r="B404" t="s">
        <v>887</v>
      </c>
      <c r="C404" t="s">
        <v>8</v>
      </c>
      <c r="D404" t="str">
        <f>HYPERLINK("https://www.procyclingstats.com/search.php?term=CARISMA+TEAM","Cerca su PCS")</f>
        <v>Cerca su PCS</v>
      </c>
    </row>
    <row r="405" spans="1:4">
      <c r="A405" s="1">
        <v>427</v>
      </c>
      <c r="B405" t="s">
        <v>888</v>
      </c>
      <c r="C405" t="s">
        <v>8</v>
      </c>
      <c r="D405" t="str">
        <f>HYPERLINK("https://www.procyclingstats.com/search.php?term=A.S.D.+CICLO+TEAM+VALNOCE","Cerca su PCS")</f>
        <v>Cerca su PCS</v>
      </c>
    </row>
    <row r="406" spans="1:4">
      <c r="A406" s="1">
        <v>428</v>
      </c>
      <c r="B406" t="s">
        <v>889</v>
      </c>
      <c r="C406" t="s">
        <v>8</v>
      </c>
      <c r="D406" t="str">
        <f>HYPERLINK("https://www.procyclingstats.com/search.php?term=ASD+LE+FRECCE+DELL'ETNA","Cerca su PCS")</f>
        <v>Cerca su PCS</v>
      </c>
    </row>
    <row r="407" spans="1:4">
      <c r="A407" s="1">
        <v>429</v>
      </c>
      <c r="B407" t="s">
        <v>890</v>
      </c>
      <c r="C407" t="s">
        <v>8</v>
      </c>
      <c r="D407" t="str">
        <f>HYPERLINK("https://www.procyclingstats.com/search.php?term=A.S.D.+G.S.+GULP!+POOL+VAL+VIBRATA","Cerca su PCS")</f>
        <v>Cerca su PCS</v>
      </c>
    </row>
    <row r="408" spans="1:4">
      <c r="A408" s="1">
        <v>430</v>
      </c>
      <c r="B408" t="s">
        <v>891</v>
      </c>
      <c r="C408" t="s">
        <v>8</v>
      </c>
      <c r="D408" t="str">
        <f>HYPERLINK("https://www.procyclingstats.com/search.php?term=CANNIBAL+BAHRAIN+VICTORIUS","Cerca su PCS")</f>
        <v>Cerca su PCS</v>
      </c>
    </row>
    <row r="409" spans="1:4">
      <c r="A409" s="1">
        <v>431</v>
      </c>
      <c r="B409" t="s">
        <v>892</v>
      </c>
      <c r="C409" t="s">
        <v>8</v>
      </c>
      <c r="D409" t="str">
        <f>HYPERLINK("https://www.procyclingstats.com/search.php?term=JAM'S+BIKE+TEAM+BUJA","Cerca su PCS")</f>
        <v>Cerca su PCS</v>
      </c>
    </row>
    <row r="410" spans="1:4">
      <c r="A410" s="1">
        <v>432</v>
      </c>
      <c r="B410" t="s">
        <v>893</v>
      </c>
      <c r="C410" t="s">
        <v>8</v>
      </c>
      <c r="D410" t="str">
        <f>HYPERLINK("https://www.procyclingstats.com/search.php?term=TEAM+CICLI+SCOTTO+ISCHIA","Cerca su PCS")</f>
        <v>Cerca su PCS</v>
      </c>
    </row>
    <row r="411" spans="1:4">
      <c r="A411" s="1">
        <v>433</v>
      </c>
      <c r="B411" t="s">
        <v>894</v>
      </c>
      <c r="C411" t="s">
        <v>8</v>
      </c>
      <c r="D411" t="str">
        <f>HYPERLINK("https://www.procyclingstats.com/search.php?term=POL.+GHISALBESE+A.S.D.","Cerca su PCS")</f>
        <v>Cerca su PCS</v>
      </c>
    </row>
    <row r="412" spans="1:4">
      <c r="A412" s="1">
        <v>434</v>
      </c>
      <c r="B412" t="s">
        <v>895</v>
      </c>
      <c r="C412" t="s">
        <v>8</v>
      </c>
      <c r="D412" t="str">
        <f>HYPERLINK("https://www.procyclingstats.com/search.php?term=AVC+AIX+EN+PROVENCE","Cerca su PCS")</f>
        <v>Cerca su PCS</v>
      </c>
    </row>
    <row r="413" spans="1:4">
      <c r="A413" s="1">
        <v>435</v>
      </c>
      <c r="B413" t="s">
        <v>896</v>
      </c>
      <c r="C413" t="s">
        <v>8</v>
      </c>
      <c r="D413" t="str">
        <f>HYPERLINK("https://www.procyclingstats.com/search.php?term=REATE+CYCLING+TEAM","Cerca su PCS")</f>
        <v>Cerca su PCS</v>
      </c>
    </row>
    <row r="414" spans="1:4">
      <c r="A414" s="1">
        <v>436</v>
      </c>
      <c r="B414" t="s">
        <v>897</v>
      </c>
      <c r="C414" t="s">
        <v>8</v>
      </c>
      <c r="D414" t="str">
        <f>HYPERLINK("https://www.procyclingstats.com/search.php?term=TEAM+PROMOTECH+-+MG+K-VIS","Cerca su PCS")</f>
        <v>Cerca su PCS</v>
      </c>
    </row>
    <row r="415" spans="1:4">
      <c r="A415" s="1">
        <v>437</v>
      </c>
      <c r="B415" t="s">
        <v>898</v>
      </c>
      <c r="C415" t="s">
        <v>8</v>
      </c>
      <c r="D415" t="str">
        <f>HYPERLINK("https://www.procyclingstats.com/search.php?term=MENTECORPO+TEAM","Cerca su PCS")</f>
        <v>Cerca su PCS</v>
      </c>
    </row>
    <row r="416" spans="1:4">
      <c r="A416" s="1">
        <v>438</v>
      </c>
      <c r="B416" t="s">
        <v>899</v>
      </c>
      <c r="C416" t="s">
        <v>8</v>
      </c>
      <c r="D416" t="str">
        <f>HYPERLINK("https://www.procyclingstats.com/search.php?term=CRABBE+DSTNY","Cerca su PCS")</f>
        <v>Cerca su PCS</v>
      </c>
    </row>
    <row r="417" spans="1:4">
      <c r="A417" s="1">
        <v>439</v>
      </c>
      <c r="B417" t="s">
        <v>900</v>
      </c>
      <c r="C417" t="s">
        <v>8</v>
      </c>
      <c r="D417" t="str">
        <f>HYPERLINK("https://www.procyclingstats.com/search.php?term=GRUPPO+SPORTIVO+PARMENSE","Cerca su PCS")</f>
        <v>Cerca su PCS</v>
      </c>
    </row>
    <row r="418" spans="1:4">
      <c r="A418" s="1">
        <v>440</v>
      </c>
      <c r="B418" t="s">
        <v>901</v>
      </c>
      <c r="C418" t="s">
        <v>8</v>
      </c>
      <c r="D418" t="str">
        <f>HYPERLINK("https://www.procyclingstats.com/search.php?term=A.S.D.+ORANGE+BIKE+TEAM","Cerca su PCS")</f>
        <v>Cerca su PCS</v>
      </c>
    </row>
    <row r="419" spans="1:4">
      <c r="A419" s="1">
        <v>441</v>
      </c>
      <c r="B419" t="s">
        <v>902</v>
      </c>
      <c r="C419" t="s">
        <v>8</v>
      </c>
      <c r="D419" t="str">
        <f>HYPERLINK("https://www.procyclingstats.com/search.php?term=AIRTOX+-+CARL+RAS","Cerca su PCS")</f>
        <v>Cerca su PCS</v>
      </c>
    </row>
    <row r="420" spans="1:4">
      <c r="A420" s="1">
        <v>442</v>
      </c>
      <c r="B420" t="s">
        <v>903</v>
      </c>
      <c r="C420" t="s">
        <v>8</v>
      </c>
      <c r="D420" t="str">
        <f>HYPERLINK("https://www.procyclingstats.com/search.php?term=GROUWELS+-+WATERSLEY+R&amp;D","Cerca su PCS")</f>
        <v>Cerca su PCS</v>
      </c>
    </row>
    <row r="421" spans="1:4">
      <c r="A421" s="1">
        <v>443</v>
      </c>
      <c r="B421" t="s">
        <v>904</v>
      </c>
      <c r="C421" t="s">
        <v>8</v>
      </c>
      <c r="D421" t="str">
        <f>HYPERLINK("https://www.procyclingstats.com/search.php?term=DAL+RISO+AL+ROSA","Cerca su PCS")</f>
        <v>Cerca su PCS</v>
      </c>
    </row>
    <row r="422" spans="1:4">
      <c r="A422" s="1">
        <v>444</v>
      </c>
      <c r="B422" t="s">
        <v>905</v>
      </c>
      <c r="C422" t="s">
        <v>8</v>
      </c>
      <c r="D422" t="str">
        <f>HYPERLINK("https://www.procyclingstats.com/search.php?term=POLISH+CYCLING+FEDERATION","Cerca su PCS")</f>
        <v>Cerca su PCS</v>
      </c>
    </row>
    <row r="423" spans="1:4">
      <c r="A423" s="1">
        <v>445</v>
      </c>
      <c r="B423" t="s">
        <v>906</v>
      </c>
      <c r="C423" t="s">
        <v>8</v>
      </c>
      <c r="D423" t="str">
        <f>HYPERLINK("https://www.procyclingstats.com/search.php?term=ASD+TEAM+MOOVEO","Cerca su PCS")</f>
        <v>Cerca su PCS</v>
      </c>
    </row>
    <row r="424" spans="1:4">
      <c r="A424" s="1">
        <v>446</v>
      </c>
      <c r="B424" t="s">
        <v>907</v>
      </c>
      <c r="C424" t="s">
        <v>8</v>
      </c>
      <c r="D424" t="str">
        <f>HYPERLINK("https://www.procyclingstats.com/search.php?term=VPT+WHY+SPORT","Cerca su PCS")</f>
        <v>Cerca su PCS</v>
      </c>
    </row>
    <row r="425" spans="1:4">
      <c r="A425" s="1">
        <v>447</v>
      </c>
      <c r="B425" t="s">
        <v>908</v>
      </c>
      <c r="C425" t="s">
        <v>8</v>
      </c>
      <c r="D425" t="str">
        <f>HYPERLINK("https://www.procyclingstats.com/search.php?term=TEAM+GAIAPLAST+BIBANESE","Cerca su PCS")</f>
        <v>Cerca su PCS</v>
      </c>
    </row>
  </sheetData>
  <mergeCells count="4">
    <mergeCell ref="A11:A12"/>
    <mergeCell ref="A18:A19"/>
    <mergeCell ref="B11:B12"/>
    <mergeCell ref="B18:B19"/>
  </mergeCells>
  <hyperlinks>
    <hyperlink ref="C18" r:id="rId1" display="https://www.procyclingstats.com/team/a-r-monex-pro-cyclingteam-2026" tooltip="https://www.procyclingstats.com/team/a-r-monex-pro-cyclingteam-202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Atleti non trovati</vt:lpstr>
      <vt:lpstr>Trovati nel frattempo</vt:lpstr>
      <vt:lpstr>Team non trovati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vezza</cp:lastModifiedBy>
  <dcterms:created xsi:type="dcterms:W3CDTF">2026-07-15T15:21:00Z</dcterms:created>
  <dcterms:modified xsi:type="dcterms:W3CDTF">2026-07-15T15:55:18Z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BB8DC960DCE84620AC52952E2804D68B_12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
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tleti non trovati" sheetId="1" state="visible" r:id="rId1"/>
    <sheet name="Trovati nel frattempo" sheetId="2" state="visible" r:id="rId2"/>
    <sheet name="Team non trovat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i val="1"/>
      <color rgb="007A7F84"/>
      <sz val="9"/>
    </font>
  </fonts>
  <fills count="3">
    <fill>
      <patternFill/>
    </fill>
    <fill>
      <patternFill patternType="gray125"/>
    </fill>
    <fill>
      <patternFill patternType="solid">
        <fgColor rgb="002B303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32" customWidth="1" min="3" max="3"/>
    <col width="14" customWidth="1" min="4" max="4"/>
    <col width="40" customWidth="1" min="5" max="5"/>
    <col width="24" customWidth="1" min="6" max="6"/>
  </cols>
  <sheetData>
    <row r="1">
      <c r="A1" s="1" t="inlineStr">
        <is>
          <t>#</t>
        </is>
      </c>
      <c r="B1" s="1" t="inlineStr">
        <is>
          <t>Nome</t>
        </is>
      </c>
      <c r="C1" s="1" t="inlineStr">
        <is>
          <t>Slug provato dallo scraper</t>
        </is>
      </c>
      <c r="D1" s="1" t="inlineStr">
        <is>
          <t>Cerca su PCS</t>
        </is>
      </c>
      <c r="E1" s="1" t="inlineStr">
        <is>
          <t>Link profilo trovato</t>
        </is>
      </c>
      <c r="F1" s="1" t="inlineStr">
        <is>
          <t>Note</t>
        </is>
      </c>
    </row>
    <row r="2">
      <c r="A2" t="n">
        <v>1</v>
      </c>
      <c r="B2" t="inlineStr">
        <is>
          <t>ACTIS SAMUELE</t>
        </is>
      </c>
      <c r="C2" t="inlineStr">
        <is>
          <t>samuele-actis</t>
        </is>
      </c>
      <c r="D2">
        <f>HYPERLINK("https://www.procyclingstats.com/search.php?term=ACTIS+SAMUELE","Cerca")</f>
        <v/>
      </c>
      <c r="E2" t="inlineStr"/>
      <c r="F2" t="inlineStr"/>
    </row>
    <row r="3">
      <c r="A3" t="n">
        <v>2</v>
      </c>
      <c r="B3" t="inlineStr">
        <is>
          <t>ARGENTINO SALVATORE</t>
        </is>
      </c>
      <c r="C3" t="inlineStr">
        <is>
          <t>salvatore-argentino</t>
        </is>
      </c>
      <c r="D3">
        <f>HYPERLINK("https://www.procyclingstats.com/search.php?term=ARGENTINO+SALVATORE","Cerca")</f>
        <v/>
      </c>
      <c r="E3" t="inlineStr"/>
      <c r="F3" t="inlineStr"/>
    </row>
    <row r="4">
      <c r="A4" t="n">
        <v>3</v>
      </c>
      <c r="B4" t="inlineStr">
        <is>
          <t>ASTORRI MARTINO</t>
        </is>
      </c>
      <c r="C4" t="inlineStr">
        <is>
          <t>martino-astorri</t>
        </is>
      </c>
      <c r="D4">
        <f>HYPERLINK("https://www.procyclingstats.com/search.php?term=ASTORRI+MARTINO","Cerca")</f>
        <v/>
      </c>
      <c r="E4" t="inlineStr"/>
      <c r="F4" t="inlineStr"/>
    </row>
    <row r="5">
      <c r="A5" t="n">
        <v>4</v>
      </c>
      <c r="B5" t="inlineStr">
        <is>
          <t>AYALA ARELLANO EDUARD EMANUEL</t>
        </is>
      </c>
      <c r="C5" t="inlineStr">
        <is>
          <t>eduard-emanuel-ayala-arellano</t>
        </is>
      </c>
      <c r="D5">
        <f>HYPERLINK("https://www.procyclingstats.com/search.php?term=AYALA+ARELLANO+EDUARD+EMANUEL","Cerca")</f>
        <v/>
      </c>
      <c r="E5" t="inlineStr"/>
      <c r="F5" t="inlineStr"/>
    </row>
    <row r="6">
      <c r="A6" t="n">
        <v>5</v>
      </c>
      <c r="B6" t="inlineStr">
        <is>
          <t>Alhach Gaetanna</t>
        </is>
      </c>
      <c r="C6" t="inlineStr">
        <is>
          <t>gaetanna-alhach</t>
        </is>
      </c>
      <c r="D6">
        <f>HYPERLINK("https://www.procyclingstats.com/search.php?term=Alhach+Gaetanna","Cerca")</f>
        <v/>
      </c>
      <c r="E6" t="inlineStr"/>
      <c r="F6" t="inlineStr"/>
    </row>
    <row r="7">
      <c r="A7" t="n">
        <v>6</v>
      </c>
      <c r="B7" t="inlineStr">
        <is>
          <t>Amondarain Naia</t>
        </is>
      </c>
      <c r="C7" t="inlineStr">
        <is>
          <t>naia-amondarain</t>
        </is>
      </c>
      <c r="D7">
        <f>HYPERLINK("https://www.procyclingstats.com/search.php?term=Amondarain+Naia","Cerca")</f>
        <v/>
      </c>
      <c r="E7" t="inlineStr"/>
      <c r="F7" t="inlineStr"/>
    </row>
    <row r="8">
      <c r="A8" t="n">
        <v>7</v>
      </c>
      <c r="B8" t="inlineStr">
        <is>
          <t>Anderson Solbjørk Minke</t>
        </is>
      </c>
      <c r="C8" t="inlineStr">
        <is>
          <t>solbj-rk-minke-anderson</t>
        </is>
      </c>
      <c r="D8">
        <f>HYPERLINK("https://www.procyclingstats.com/search.php?term=Anderson+Solbjørk+Minke","Cerca")</f>
        <v/>
      </c>
      <c r="E8" t="inlineStr"/>
      <c r="F8" t="inlineStr"/>
    </row>
    <row r="9">
      <c r="A9" t="n">
        <v>8</v>
      </c>
      <c r="B9" t="inlineStr">
        <is>
          <t>Aubry Julia</t>
        </is>
      </c>
      <c r="C9" t="inlineStr">
        <is>
          <t>julia-aubry</t>
        </is>
      </c>
      <c r="D9">
        <f>HYPERLINK("https://www.procyclingstats.com/search.php?term=Aubry+Julia","Cerca")</f>
        <v/>
      </c>
      <c r="E9" t="inlineStr"/>
      <c r="F9" t="inlineStr"/>
    </row>
    <row r="10">
      <c r="A10" t="n">
        <v>9</v>
      </c>
      <c r="B10" t="inlineStr">
        <is>
          <t>Azzini Tuan</t>
        </is>
      </c>
      <c r="C10" t="inlineStr">
        <is>
          <t>tuan-azzini</t>
        </is>
      </c>
      <c r="D10">
        <f>HYPERLINK("https://www.procyclingstats.com/search.php?term=Azzini+Tuan","Cerca")</f>
        <v/>
      </c>
      <c r="E10" t="inlineStr"/>
      <c r="F10" t="inlineStr"/>
    </row>
    <row r="11">
      <c r="A11" t="n">
        <v>10</v>
      </c>
      <c r="B11" t="inlineStr">
        <is>
          <t>BALLIANA ENRICO</t>
        </is>
      </c>
      <c r="C11" t="inlineStr">
        <is>
          <t>enrico-balliana</t>
        </is>
      </c>
      <c r="D11">
        <f>HYPERLINK("https://www.procyclingstats.com/search.php?term=BALLIANA+ENRICO","Cerca")</f>
        <v/>
      </c>
      <c r="E11" t="inlineStr"/>
      <c r="F11" t="inlineStr"/>
    </row>
    <row r="12">
      <c r="A12" t="n">
        <v>11</v>
      </c>
      <c r="B12" t="inlineStr">
        <is>
          <t>BANDINI FILIPPO</t>
        </is>
      </c>
      <c r="C12" t="inlineStr">
        <is>
          <t>filippo-bandini</t>
        </is>
      </c>
      <c r="D12">
        <f>HYPERLINK("https://www.procyclingstats.com/search.php?term=BANDINI+FILIPPO","Cerca")</f>
        <v/>
      </c>
      <c r="E12" t="inlineStr"/>
      <c r="F12" t="inlineStr"/>
    </row>
    <row r="13">
      <c r="A13" t="n">
        <v>12</v>
      </c>
      <c r="B13" t="inlineStr">
        <is>
          <t>BANNER WIL</t>
        </is>
      </c>
      <c r="C13" t="inlineStr">
        <is>
          <t>wil-banner</t>
        </is>
      </c>
      <c r="D13">
        <f>HYPERLINK("https://www.procyclingstats.com/search.php?term=BANNER+WIL","Cerca")</f>
        <v/>
      </c>
      <c r="E13" t="inlineStr"/>
      <c r="F13" t="inlineStr"/>
    </row>
    <row r="14">
      <c r="A14" t="n">
        <v>13</v>
      </c>
      <c r="B14" t="inlineStr">
        <is>
          <t>BERARDI MICHELE</t>
        </is>
      </c>
      <c r="C14" t="inlineStr">
        <is>
          <t>michele-berardi</t>
        </is>
      </c>
      <c r="D14">
        <f>HYPERLINK("https://www.procyclingstats.com/search.php?term=BERARDI+MICHELE","Cerca")</f>
        <v/>
      </c>
      <c r="E14" t="inlineStr"/>
      <c r="F14" t="inlineStr"/>
    </row>
    <row r="15">
      <c r="A15" t="n">
        <v>14</v>
      </c>
      <c r="B15" t="inlineStr">
        <is>
          <t>BOLZONI SIMONE</t>
        </is>
      </c>
      <c r="C15" t="inlineStr">
        <is>
          <t>simone-bolzoni</t>
        </is>
      </c>
      <c r="D15">
        <f>HYPERLINK("https://www.procyclingstats.com/search.php?term=BOLZONI+SIMONE","Cerca")</f>
        <v/>
      </c>
      <c r="E15" t="inlineStr"/>
      <c r="F15" t="inlineStr"/>
    </row>
    <row r="16">
      <c r="A16" t="n">
        <v>15</v>
      </c>
      <c r="B16" t="inlineStr">
        <is>
          <t>Balestri Mattia</t>
        </is>
      </c>
      <c r="C16" t="inlineStr">
        <is>
          <t>mattia-balestri</t>
        </is>
      </c>
      <c r="D16">
        <f>HYPERLINK("https://www.procyclingstats.com/search.php?term=Balestri+Mattia","Cerca")</f>
        <v/>
      </c>
      <c r="E16" t="inlineStr"/>
      <c r="F16" t="inlineStr"/>
    </row>
    <row r="17">
      <c r="A17" t="n">
        <v>16</v>
      </c>
      <c r="B17" t="inlineStr">
        <is>
          <t>Bembi Mattia</t>
        </is>
      </c>
      <c r="C17" t="inlineStr">
        <is>
          <t>mattia-bembi</t>
        </is>
      </c>
      <c r="D17">
        <f>HYPERLINK("https://www.procyclingstats.com/search.php?term=Bembi+Mattia","Cerca")</f>
        <v/>
      </c>
      <c r="E17" t="inlineStr"/>
      <c r="F17" t="inlineStr"/>
    </row>
    <row r="18">
      <c r="A18" t="n">
        <v>17</v>
      </c>
      <c r="B18" t="inlineStr">
        <is>
          <t>Benassi Matteo</t>
        </is>
      </c>
      <c r="C18" t="inlineStr">
        <is>
          <t>matteo-benassi</t>
        </is>
      </c>
      <c r="D18">
        <f>HYPERLINK("https://www.procyclingstats.com/search.php?term=Benassi+Matteo","Cerca")</f>
        <v/>
      </c>
      <c r="E18" t="inlineStr"/>
      <c r="F18" t="inlineStr"/>
    </row>
    <row r="19">
      <c r="A19" t="n">
        <v>18</v>
      </c>
      <c r="B19" t="inlineStr">
        <is>
          <t>Benito Adrián</t>
        </is>
      </c>
      <c r="C19" t="inlineStr">
        <is>
          <t>adrian-benito</t>
        </is>
      </c>
      <c r="D19">
        <f>HYPERLINK("https://www.procyclingstats.com/search.php?term=Benito+Adrián","Cerca")</f>
        <v/>
      </c>
      <c r="E19" t="inlineStr"/>
      <c r="F19" t="inlineStr"/>
    </row>
    <row r="20">
      <c r="A20" t="n">
        <v>19</v>
      </c>
      <c r="B20" t="inlineStr">
        <is>
          <t>Bettelli Davide</t>
        </is>
      </c>
      <c r="C20" t="inlineStr">
        <is>
          <t>davide-bettelli</t>
        </is>
      </c>
      <c r="D20">
        <f>HYPERLINK("https://www.procyclingstats.com/search.php?term=Bettelli+Davide","Cerca")</f>
        <v/>
      </c>
      <c r="E20" t="inlineStr"/>
      <c r="F20" t="inlineStr"/>
    </row>
    <row r="21">
      <c r="A21" t="n">
        <v>20</v>
      </c>
      <c r="B21" t="inlineStr">
        <is>
          <t>Binda Rossetti</t>
        </is>
      </c>
      <c r="C21" t="inlineStr">
        <is>
          <t>rossetti-binda</t>
        </is>
      </c>
      <c r="D21">
        <f>HYPERLINK("https://www.procyclingstats.com/search.php?term=Binda+Rossetti","Cerca")</f>
        <v/>
      </c>
      <c r="E21" t="inlineStr"/>
      <c r="F21" t="inlineStr"/>
    </row>
    <row r="22">
      <c r="A22" t="n">
        <v>21</v>
      </c>
      <c r="B22" t="inlineStr">
        <is>
          <t>Bovo Bianto Kylian</t>
        </is>
      </c>
      <c r="C22" t="inlineStr">
        <is>
          <t>bianto-kylian-bovo</t>
        </is>
      </c>
      <c r="D22">
        <f>HYPERLINK("https://www.procyclingstats.com/search.php?term=Bovo+Bianto+Kylian","Cerca")</f>
        <v/>
      </c>
      <c r="E22" t="inlineStr"/>
      <c r="F22" t="inlineStr"/>
    </row>
    <row r="23">
      <c r="A23" t="n">
        <v>22</v>
      </c>
      <c r="B23" t="inlineStr">
        <is>
          <t>Brugier Robin</t>
        </is>
      </c>
      <c r="C23" t="inlineStr">
        <is>
          <t>robin-brugier</t>
        </is>
      </c>
      <c r="D23">
        <f>HYPERLINK("https://www.procyclingstats.com/search.php?term=Brugier+Robin","Cerca")</f>
        <v/>
      </c>
      <c r="E23" t="inlineStr"/>
      <c r="F23" t="inlineStr"/>
    </row>
    <row r="24">
      <c r="A24" t="n">
        <v>23</v>
      </c>
      <c r="B24" t="inlineStr">
        <is>
          <t>Buijsman Nina</t>
        </is>
      </c>
      <c r="C24" t="inlineStr">
        <is>
          <t>nina-buijsman</t>
        </is>
      </c>
      <c r="D24">
        <f>HYPERLINK("https://www.procyclingstats.com/search.php?term=Buijsman+Nina","Cerca")</f>
        <v/>
      </c>
      <c r="E24" t="inlineStr"/>
      <c r="F24" t="inlineStr"/>
    </row>
    <row r="25">
      <c r="A25" t="n">
        <v>24</v>
      </c>
      <c r="B25" t="inlineStr">
        <is>
          <t>CANCHON GIL JUAN ESTEBAN</t>
        </is>
      </c>
      <c r="C25" t="inlineStr">
        <is>
          <t>gil-juan-esteban-canchon</t>
        </is>
      </c>
      <c r="D25">
        <f>HYPERLINK("https://www.procyclingstats.com/search.php?term=CANCHON+GIL+JUAN+ESTEBAN","Cerca")</f>
        <v/>
      </c>
      <c r="E25" t="inlineStr"/>
      <c r="F25" t="inlineStr"/>
    </row>
    <row r="26">
      <c r="A26" t="n">
        <v>25</v>
      </c>
      <c r="B26" t="inlineStr">
        <is>
          <t>CARUSO SALVATORE</t>
        </is>
      </c>
      <c r="C26" t="inlineStr">
        <is>
          <t>salvatore-caruso</t>
        </is>
      </c>
      <c r="D26">
        <f>HYPERLINK("https://www.procyclingstats.com/search.php?term=CARUSO+SALVATORE","Cerca")</f>
        <v/>
      </c>
      <c r="E26" t="inlineStr"/>
      <c r="F26" t="inlineStr"/>
    </row>
    <row r="27">
      <c r="A27" t="n">
        <v>26</v>
      </c>
      <c r="B27" t="inlineStr">
        <is>
          <t>CHYZHYKOV HMORHII</t>
        </is>
      </c>
      <c r="C27" t="inlineStr">
        <is>
          <t>hmorhii-chyzhykov</t>
        </is>
      </c>
      <c r="D27">
        <f>HYPERLINK("https://www.procyclingstats.com/search.php?term=CHYZHYKOV+HMORHII","Cerca")</f>
        <v/>
      </c>
      <c r="E27" t="inlineStr"/>
      <c r="F27" t="inlineStr"/>
    </row>
    <row r="28">
      <c r="A28" t="n">
        <v>27</v>
      </c>
      <c r="B28" t="inlineStr">
        <is>
          <t>COATES BENJAMIN</t>
        </is>
      </c>
      <c r="C28" t="inlineStr">
        <is>
          <t>benjamin-coates</t>
        </is>
      </c>
      <c r="D28">
        <f>HYPERLINK("https://www.procyclingstats.com/search.php?term=COATES+BENJAMIN","Cerca")</f>
        <v/>
      </c>
      <c r="E28" t="inlineStr"/>
      <c r="F28" t="inlineStr"/>
    </row>
    <row r="29">
      <c r="A29" t="n">
        <v>28</v>
      </c>
      <c r="B29" t="inlineStr">
        <is>
          <t>COMETTO FILIPPO</t>
        </is>
      </c>
      <c r="C29" t="inlineStr">
        <is>
          <t>filippo-cometto</t>
        </is>
      </c>
      <c r="D29">
        <f>HYPERLINK("https://www.procyclingstats.com/search.php?term=COMETTO+FILIPPO","Cerca")</f>
        <v/>
      </c>
      <c r="E29" t="inlineStr"/>
      <c r="F29" t="inlineStr"/>
    </row>
    <row r="30">
      <c r="A30" t="n">
        <v>29</v>
      </c>
      <c r="B30" t="inlineStr">
        <is>
          <t>CONGIU FILIPPO</t>
        </is>
      </c>
      <c r="C30" t="inlineStr">
        <is>
          <t>filippo-congiu</t>
        </is>
      </c>
      <c r="D30">
        <f>HYPERLINK("https://www.procyclingstats.com/search.php?term=CONGIU+FILIPPO","Cerca")</f>
        <v/>
      </c>
      <c r="E30" t="inlineStr"/>
      <c r="F30" t="inlineStr"/>
    </row>
    <row r="31">
      <c r="A31" t="n">
        <v>30</v>
      </c>
      <c r="B31" t="inlineStr">
        <is>
          <t>Canino Giuseppe</t>
        </is>
      </c>
      <c r="C31" t="inlineStr">
        <is>
          <t>giuseppe-canino</t>
        </is>
      </c>
      <c r="D31">
        <f>HYPERLINK("https://www.procyclingstats.com/search.php?term=Canino+Giuseppe","Cerca")</f>
        <v/>
      </c>
      <c r="E31" t="inlineStr"/>
      <c r="F31" t="inlineStr"/>
    </row>
    <row r="32">
      <c r="A32" t="n">
        <v>31</v>
      </c>
      <c r="B32" t="inlineStr">
        <is>
          <t>Capelli Luca</t>
        </is>
      </c>
      <c r="C32" t="inlineStr">
        <is>
          <t>luca-capelli</t>
        </is>
      </c>
      <c r="D32">
        <f>HYPERLINK("https://www.procyclingstats.com/search.php?term=Capelli+Luca","Cerca")</f>
        <v/>
      </c>
      <c r="E32" t="inlineStr"/>
      <c r="F32" t="inlineStr"/>
    </row>
    <row r="33">
      <c r="A33" t="n">
        <v>32</v>
      </c>
      <c r="B33" t="inlineStr">
        <is>
          <t>Caroppo Cristian</t>
        </is>
      </c>
      <c r="C33" t="inlineStr">
        <is>
          <t>cristian-caroppo</t>
        </is>
      </c>
      <c r="D33">
        <f>HYPERLINK("https://www.procyclingstats.com/search.php?term=Caroppo+Cristian","Cerca")</f>
        <v/>
      </c>
      <c r="E33" t="inlineStr"/>
      <c r="F33" t="inlineStr"/>
    </row>
    <row r="34">
      <c r="A34" t="n">
        <v>33</v>
      </c>
      <c r="B34" t="inlineStr">
        <is>
          <t>Caselli Armin</t>
        </is>
      </c>
      <c r="C34" t="inlineStr">
        <is>
          <t>armin-caselli</t>
        </is>
      </c>
      <c r="D34">
        <f>HYPERLINK("https://www.procyclingstats.com/search.php?term=Caselli+Armin","Cerca")</f>
        <v/>
      </c>
      <c r="E34" t="inlineStr"/>
      <c r="F34" t="inlineStr"/>
    </row>
    <row r="35">
      <c r="A35" t="n">
        <v>34</v>
      </c>
      <c r="B35" t="inlineStr">
        <is>
          <t>Catellani Marco</t>
        </is>
      </c>
      <c r="C35" t="inlineStr">
        <is>
          <t>marco-catellani</t>
        </is>
      </c>
      <c r="D35">
        <f>HYPERLINK("https://www.procyclingstats.com/search.php?term=Catellani+Marco","Cerca")</f>
        <v/>
      </c>
      <c r="E35" t="inlineStr"/>
      <c r="F35" t="inlineStr"/>
    </row>
    <row r="36">
      <c r="A36" t="n">
        <v>35</v>
      </c>
      <c r="B36" t="inlineStr">
        <is>
          <t>Cazzaniga Filippo</t>
        </is>
      </c>
      <c r="C36" t="inlineStr">
        <is>
          <t>filippo-cazzaniga</t>
        </is>
      </c>
      <c r="D36">
        <f>HYPERLINK("https://www.procyclingstats.com/search.php?term=Cazzaniga+Filippo","Cerca")</f>
        <v/>
      </c>
      <c r="E36" t="inlineStr"/>
      <c r="F36" t="inlineStr"/>
    </row>
    <row r="37">
      <c r="A37" t="n">
        <v>36</v>
      </c>
      <c r="B37" t="inlineStr">
        <is>
          <t>Cisneros Luis Isuhan</t>
        </is>
      </c>
      <c r="C37" t="inlineStr">
        <is>
          <t>luis-isuhan-cisneros</t>
        </is>
      </c>
      <c r="D37">
        <f>HYPERLINK("https://www.procyclingstats.com/search.php?term=Cisneros+Luis+Isuhan","Cerca")</f>
        <v/>
      </c>
      <c r="E37" t="inlineStr"/>
      <c r="F37" t="inlineStr"/>
    </row>
    <row r="38">
      <c r="A38" t="n">
        <v>37</v>
      </c>
      <c r="B38" t="inlineStr">
        <is>
          <t>Costa-Starrico Giulia</t>
        </is>
      </c>
      <c r="C38" t="inlineStr">
        <is>
          <t>giulia-costa-starrico</t>
        </is>
      </c>
      <c r="D38">
        <f>HYPERLINK("https://www.procyclingstats.com/search.php?term=Costa-Starrico+Giulia","Cerca")</f>
        <v/>
      </c>
      <c r="E38" t="inlineStr"/>
      <c r="F38" t="inlineStr"/>
    </row>
    <row r="39">
      <c r="A39" t="n">
        <v>38</v>
      </c>
      <c r="B39" t="inlineStr">
        <is>
          <t>Cuda Gabriele</t>
        </is>
      </c>
      <c r="C39" t="inlineStr">
        <is>
          <t>gabriele-cuda</t>
        </is>
      </c>
      <c r="D39">
        <f>HYPERLINK("https://www.procyclingstats.com/search.php?term=Cuda+Gabriele","Cerca")</f>
        <v/>
      </c>
      <c r="E39" t="inlineStr"/>
      <c r="F39" t="inlineStr"/>
    </row>
    <row r="40">
      <c r="A40" t="n">
        <v>39</v>
      </c>
      <c r="B40" t="inlineStr">
        <is>
          <t>Czeczinkarová Jana</t>
        </is>
      </c>
      <c r="C40" t="inlineStr">
        <is>
          <t>jana-czeczinkarova</t>
        </is>
      </c>
      <c r="D40">
        <f>HYPERLINK("https://www.procyclingstats.com/search.php?term=Czeczinkarová+Jana","Cerca")</f>
        <v/>
      </c>
      <c r="E40" t="inlineStr"/>
      <c r="F40" t="inlineStr"/>
    </row>
    <row r="41">
      <c r="A41" t="n">
        <v>40</v>
      </c>
      <c r="B41" t="inlineStr">
        <is>
          <t>D'APOLLONIO REBECCA</t>
        </is>
      </c>
      <c r="C41" t="inlineStr">
        <is>
          <t>rebecca-d-apollonio</t>
        </is>
      </c>
      <c r="D41">
        <f>HYPERLINK("https://www.procyclingstats.com/search.php?term=D'APOLLONIO+REBECCA","Cerca")</f>
        <v/>
      </c>
      <c r="E41" t="inlineStr"/>
      <c r="F41" t="inlineStr"/>
    </row>
    <row r="42">
      <c r="A42" t="n">
        <v>41</v>
      </c>
      <c r="B42" t="inlineStr">
        <is>
          <t>DALLA BONA THOMAS</t>
        </is>
      </c>
      <c r="C42" t="inlineStr">
        <is>
          <t>bona-thomas-dalla</t>
        </is>
      </c>
      <c r="D42">
        <f>HYPERLINK("https://www.procyclingstats.com/search.php?term=DALLA+BONA+THOMAS","Cerca")</f>
        <v/>
      </c>
      <c r="E42" t="inlineStr"/>
      <c r="F42" t="inlineStr"/>
    </row>
    <row r="43">
      <c r="A43" t="n">
        <v>42</v>
      </c>
      <c r="B43" t="inlineStr">
        <is>
          <t>DALLA PRIA GIACOMO</t>
        </is>
      </c>
      <c r="C43" t="inlineStr">
        <is>
          <t>pria-giacomo-dalla</t>
        </is>
      </c>
      <c r="D43">
        <f>HYPERLINK("https://www.procyclingstats.com/search.php?term=DALLA+PRIA+GIACOMO","Cerca")</f>
        <v/>
      </c>
      <c r="E43" t="inlineStr"/>
      <c r="F43" t="inlineStr"/>
    </row>
    <row r="44">
      <c r="A44" t="n">
        <v>43</v>
      </c>
      <c r="B44" t="inlineStr">
        <is>
          <t>DALLE CRODE LORENZO</t>
        </is>
      </c>
      <c r="C44" t="inlineStr">
        <is>
          <t>crode-lorenzo-dalle</t>
        </is>
      </c>
      <c r="D44">
        <f>HYPERLINK("https://www.procyclingstats.com/search.php?term=DALLE+CRODE+LORENZO","Cerca")</f>
        <v/>
      </c>
      <c r="E44" t="inlineStr"/>
      <c r="F44" t="inlineStr"/>
    </row>
    <row r="45">
      <c r="A45" t="n">
        <v>44</v>
      </c>
      <c r="B45" t="inlineStr">
        <is>
          <t>DE GRANDIS MICHELA</t>
        </is>
      </c>
      <c r="C45" t="inlineStr">
        <is>
          <t>grandis-michela-de</t>
        </is>
      </c>
      <c r="D45">
        <f>HYPERLINK("https://www.procyclingstats.com/search.php?term=DE+GRANDIS+MICHELA","Cerca")</f>
        <v/>
      </c>
      <c r="E45" t="inlineStr"/>
      <c r="F45" t="inlineStr"/>
    </row>
    <row r="46">
      <c r="A46" t="n">
        <v>45</v>
      </c>
      <c r="B46" t="inlineStr">
        <is>
          <t>DE MERCANTI LUCA</t>
        </is>
      </c>
      <c r="C46" t="inlineStr">
        <is>
          <t>mercanti-luca-de</t>
        </is>
      </c>
      <c r="D46">
        <f>HYPERLINK("https://www.procyclingstats.com/search.php?term=DE+MERCANTI+LUCA","Cerca")</f>
        <v/>
      </c>
      <c r="E46" t="inlineStr"/>
      <c r="F46" t="inlineStr"/>
    </row>
    <row r="47">
      <c r="A47" t="n">
        <v>46</v>
      </c>
      <c r="B47" t="inlineStr">
        <is>
          <t>DE MONTE MATTEO</t>
        </is>
      </c>
      <c r="C47" t="inlineStr">
        <is>
          <t>monte-matteo-de</t>
        </is>
      </c>
      <c r="D47">
        <f>HYPERLINK("https://www.procyclingstats.com/search.php?term=DE+MONTE+MATTEO","Cerca")</f>
        <v/>
      </c>
      <c r="E47" t="inlineStr"/>
      <c r="F47" t="inlineStr"/>
    </row>
    <row r="48">
      <c r="A48" t="n">
        <v>47</v>
      </c>
      <c r="B48" t="inlineStr">
        <is>
          <t>DE SMET VIC</t>
        </is>
      </c>
      <c r="C48" t="inlineStr">
        <is>
          <t>smet-vic-de</t>
        </is>
      </c>
      <c r="D48">
        <f>HYPERLINK("https://www.procyclingstats.com/search.php?term=DE+SMET+VIC","Cerca")</f>
        <v/>
      </c>
      <c r="E48" t="inlineStr"/>
      <c r="F48" t="inlineStr"/>
    </row>
    <row r="49">
      <c r="A49" t="n">
        <v>48</v>
      </c>
      <c r="B49" t="inlineStr">
        <is>
          <t>DELL'OLIO FRANCESCO</t>
        </is>
      </c>
      <c r="C49" t="inlineStr">
        <is>
          <t>francesco-dell-olio</t>
        </is>
      </c>
      <c r="D49">
        <f>HYPERLINK("https://www.procyclingstats.com/search.php?term=DELL'OLIO+FRANCESCO","Cerca")</f>
        <v/>
      </c>
      <c r="E49" t="inlineStr"/>
      <c r="F49" t="inlineStr"/>
    </row>
    <row r="50">
      <c r="A50" t="n">
        <v>49</v>
      </c>
      <c r="B50" t="inlineStr">
        <is>
          <t>DELLA TORRE CARLO</t>
        </is>
      </c>
      <c r="C50" t="inlineStr">
        <is>
          <t>torre-carlo-della</t>
        </is>
      </c>
      <c r="D50">
        <f>HYPERLINK("https://www.procyclingstats.com/search.php?term=DELLA+TORRE+CARLO","Cerca")</f>
        <v/>
      </c>
      <c r="E50" t="inlineStr"/>
      <c r="F50" t="inlineStr"/>
    </row>
    <row r="51">
      <c r="A51" t="n">
        <v>50</v>
      </c>
      <c r="B51" t="inlineStr">
        <is>
          <t>DERGANC ANTON</t>
        </is>
      </c>
      <c r="C51" t="inlineStr">
        <is>
          <t>anton-derganc</t>
        </is>
      </c>
      <c r="D51">
        <f>HYPERLINK("https://www.procyclingstats.com/search.php?term=DERGANC+ANTON","Cerca")</f>
        <v/>
      </c>
      <c r="E51" t="inlineStr"/>
      <c r="F51" t="inlineStr"/>
    </row>
    <row r="52">
      <c r="A52" t="n">
        <v>51</v>
      </c>
      <c r="B52" t="inlineStr">
        <is>
          <t>DI PRIMA CHRISTIAN</t>
        </is>
      </c>
      <c r="C52" t="inlineStr">
        <is>
          <t>prima-christian-di</t>
        </is>
      </c>
      <c r="D52">
        <f>HYPERLINK("https://www.procyclingstats.com/search.php?term=DI+PRIMA+CHRISTIAN","Cerca")</f>
        <v/>
      </c>
      <c r="E52" t="inlineStr"/>
      <c r="F52" t="inlineStr"/>
    </row>
    <row r="53">
      <c r="A53" t="n">
        <v>52</v>
      </c>
      <c r="B53" t="inlineStr">
        <is>
          <t>DI SANTO LEONARDO</t>
        </is>
      </c>
      <c r="C53" t="inlineStr">
        <is>
          <t>santo-leonardo-di</t>
        </is>
      </c>
      <c r="D53">
        <f>HYPERLINK("https://www.procyclingstats.com/search.php?term=DI+SANTO+LEONARDO","Cerca")</f>
        <v/>
      </c>
      <c r="E53" t="inlineStr"/>
      <c r="F53" t="inlineStr"/>
    </row>
    <row r="54">
      <c r="A54" t="n">
        <v>53</v>
      </c>
      <c r="B54" t="inlineStr">
        <is>
          <t>DOVESI MANUEL</t>
        </is>
      </c>
      <c r="C54" t="inlineStr">
        <is>
          <t>manuel-dovesi</t>
        </is>
      </c>
      <c r="D54">
        <f>HYPERLINK("https://www.procyclingstats.com/search.php?term=DOVESI+MANUEL","Cerca")</f>
        <v/>
      </c>
      <c r="E54" t="inlineStr"/>
      <c r="F54" t="inlineStr"/>
    </row>
    <row r="55">
      <c r="A55" t="n">
        <v>54</v>
      </c>
      <c r="B55" t="inlineStr">
        <is>
          <t>Dalla Cia Alberto</t>
        </is>
      </c>
      <c r="C55" t="inlineStr">
        <is>
          <t>cia-alberto-dalla</t>
        </is>
      </c>
      <c r="D55">
        <f>HYPERLINK("https://www.procyclingstats.com/search.php?term=Dalla+Cia+Alberto","Cerca")</f>
        <v/>
      </c>
      <c r="E55" t="inlineStr"/>
      <c r="F55" t="inlineStr"/>
    </row>
    <row r="56">
      <c r="A56" t="n">
        <v>55</v>
      </c>
      <c r="B56" t="inlineStr">
        <is>
          <t>Dalla Valle Andrea</t>
        </is>
      </c>
      <c r="C56" t="inlineStr">
        <is>
          <t>valle-andrea-dalla</t>
        </is>
      </c>
      <c r="D56">
        <f>HYPERLINK("https://www.procyclingstats.com/search.php?term=Dalla+Valle+Andrea","Cerca")</f>
        <v/>
      </c>
      <c r="E56" t="inlineStr"/>
      <c r="F56" t="inlineStr"/>
    </row>
    <row r="57">
      <c r="A57" t="n">
        <v>56</v>
      </c>
      <c r="B57" t="inlineStr">
        <is>
          <t>Dalle Carbonare Loris</t>
        </is>
      </c>
      <c r="C57" t="inlineStr">
        <is>
          <t>carbonare-loris-dalle</t>
        </is>
      </c>
      <c r="D57">
        <f>HYPERLINK("https://www.procyclingstats.com/search.php?term=Dalle+Carbonare+Loris","Cerca")</f>
        <v/>
      </c>
      <c r="E57" t="inlineStr"/>
      <c r="F57" t="inlineStr"/>
    </row>
    <row r="58">
      <c r="A58" t="n">
        <v>57</v>
      </c>
      <c r="B58" t="inlineStr">
        <is>
          <t>De Buysser Auke</t>
        </is>
      </c>
      <c r="C58" t="inlineStr">
        <is>
          <t>buysser-auke-de</t>
        </is>
      </c>
      <c r="D58">
        <f>HYPERLINK("https://www.procyclingstats.com/search.php?term=De+Buysser+Auke","Cerca")</f>
        <v/>
      </c>
      <c r="E58" t="inlineStr"/>
      <c r="F58" t="inlineStr"/>
    </row>
    <row r="59">
      <c r="A59" t="n">
        <v>58</v>
      </c>
      <c r="B59" t="inlineStr">
        <is>
          <t>De Fabritiis Gabriele</t>
        </is>
      </c>
      <c r="C59" t="inlineStr">
        <is>
          <t>fabritiis-gabriele-de</t>
        </is>
      </c>
      <c r="D59">
        <f>HYPERLINK("https://www.procyclingstats.com/search.php?term=De+Fabritiis+Gabriele","Cerca")</f>
        <v/>
      </c>
      <c r="E59" t="inlineStr"/>
      <c r="F59" t="inlineStr"/>
    </row>
    <row r="60">
      <c r="A60" t="n">
        <v>59</v>
      </c>
      <c r="B60" t="inlineStr">
        <is>
          <t>De Keersmaeker Audrey</t>
        </is>
      </c>
      <c r="C60" t="inlineStr">
        <is>
          <t>keersmaeker-audrey-de</t>
        </is>
      </c>
      <c r="D60">
        <f>HYPERLINK("https://www.procyclingstats.com/search.php?term=De+Keersmaeker+Audrey","Cerca")</f>
        <v/>
      </c>
      <c r="E60" t="inlineStr"/>
      <c r="F60" t="inlineStr"/>
    </row>
    <row r="61">
      <c r="A61" t="n">
        <v>60</v>
      </c>
      <c r="B61" t="inlineStr">
        <is>
          <t>De Lazzer Agnese</t>
        </is>
      </c>
      <c r="C61" t="inlineStr">
        <is>
          <t>lazzer-agnese-de</t>
        </is>
      </c>
      <c r="D61">
        <f>HYPERLINK("https://www.procyclingstats.com/search.php?term=De+Lazzer+Agnese","Cerca")</f>
        <v/>
      </c>
      <c r="E61" t="inlineStr"/>
      <c r="F61" t="inlineStr"/>
    </row>
    <row r="62">
      <c r="A62" t="n">
        <v>61</v>
      </c>
      <c r="B62" t="inlineStr">
        <is>
          <t>De Rensis Stefano</t>
        </is>
      </c>
      <c r="C62" t="inlineStr">
        <is>
          <t>rensis-stefano-de</t>
        </is>
      </c>
      <c r="D62">
        <f>HYPERLINK("https://www.procyclingstats.com/search.php?term=De+Rensis+Stefano","Cerca")</f>
        <v/>
      </c>
      <c r="E62" t="inlineStr"/>
      <c r="F62" t="inlineStr"/>
    </row>
    <row r="63">
      <c r="A63" t="n">
        <v>62</v>
      </c>
      <c r="B63" t="inlineStr">
        <is>
          <t>De Vallier Elisa</t>
        </is>
      </c>
      <c r="C63" t="inlineStr">
        <is>
          <t>vallier-elisa-de</t>
        </is>
      </c>
      <c r="D63">
        <f>HYPERLINK("https://www.procyclingstats.com/search.php?term=De+Vallier+Elisa","Cerca")</f>
        <v/>
      </c>
      <c r="E63" t="inlineStr"/>
      <c r="F63" t="inlineStr"/>
    </row>
    <row r="64">
      <c r="A64" t="n">
        <v>63</v>
      </c>
      <c r="B64" t="inlineStr">
        <is>
          <t>Devos Victor</t>
        </is>
      </c>
      <c r="C64" t="inlineStr">
        <is>
          <t>victor-devos</t>
        </is>
      </c>
      <c r="D64">
        <f>HYPERLINK("https://www.procyclingstats.com/search.php?term=Devos+Victor","Cerca")</f>
        <v/>
      </c>
      <c r="E64" t="inlineStr"/>
      <c r="F64" t="inlineStr"/>
    </row>
    <row r="65">
      <c r="A65" t="n">
        <v>64</v>
      </c>
      <c r="B65" t="inlineStr">
        <is>
          <t>Di Vita Federico</t>
        </is>
      </c>
      <c r="C65" t="inlineStr">
        <is>
          <t>vita-federico-di</t>
        </is>
      </c>
      <c r="D65">
        <f>HYPERLINK("https://www.procyclingstats.com/search.php?term=Di+Vita+Federico","Cerca")</f>
        <v/>
      </c>
      <c r="E65" t="inlineStr"/>
      <c r="F65" t="inlineStr"/>
    </row>
    <row r="66">
      <c r="A66" t="n">
        <v>65</v>
      </c>
      <c r="B66" t="inlineStr">
        <is>
          <t>Dones Mattia</t>
        </is>
      </c>
      <c r="C66" t="inlineStr">
        <is>
          <t>mattia-dones</t>
        </is>
      </c>
      <c r="D66">
        <f>HYPERLINK("https://www.procyclingstats.com/search.php?term=Dones+Mattia","Cerca")</f>
        <v/>
      </c>
      <c r="E66" t="inlineStr"/>
      <c r="F66" t="inlineStr"/>
    </row>
    <row r="67">
      <c r="A67" t="n">
        <v>66</v>
      </c>
      <c r="B67" t="inlineStr">
        <is>
          <t>Elsäßer Luan</t>
        </is>
      </c>
      <c r="C67" t="inlineStr">
        <is>
          <t>luan-elsa-er</t>
        </is>
      </c>
      <c r="D67">
        <f>HYPERLINK("https://www.procyclingstats.com/search.php?term=Elsäßer+Luan","Cerca")</f>
        <v/>
      </c>
      <c r="E67" t="inlineStr"/>
      <c r="F67" t="inlineStr"/>
    </row>
    <row r="68">
      <c r="A68" t="n">
        <v>67</v>
      </c>
      <c r="B68" t="inlineStr">
        <is>
          <t>FARAZ KHATIEB</t>
        </is>
      </c>
      <c r="C68" t="inlineStr">
        <is>
          <t>khatieb-faraz</t>
        </is>
      </c>
      <c r="D68">
        <f>HYPERLINK("https://www.procyclingstats.com/search.php?term=FARAZ+KHATIEB","Cerca")</f>
        <v/>
      </c>
      <c r="E68" t="inlineStr"/>
      <c r="F68" t="inlineStr"/>
    </row>
    <row r="69">
      <c r="A69" t="n">
        <v>68</v>
      </c>
      <c r="B69" t="inlineStr">
        <is>
          <t>FOLEGANI MATTIA</t>
        </is>
      </c>
      <c r="C69" t="inlineStr">
        <is>
          <t>mattia-folegani</t>
        </is>
      </c>
      <c r="D69">
        <f>HYPERLINK("https://www.procyclingstats.com/search.php?term=FOLEGANI+MATTIA","Cerca")</f>
        <v/>
      </c>
      <c r="E69" t="inlineStr"/>
      <c r="F69" t="inlineStr"/>
    </row>
    <row r="70">
      <c r="A70" t="n">
        <v>69</v>
      </c>
      <c r="B70" t="inlineStr">
        <is>
          <t>FRATICELLI LUCA</t>
        </is>
      </c>
      <c r="C70" t="inlineStr">
        <is>
          <t>luca-fraticelli</t>
        </is>
      </c>
      <c r="D70">
        <f>HYPERLINK("https://www.procyclingstats.com/search.php?term=FRATICELLI+LUCA","Cerca")</f>
        <v/>
      </c>
      <c r="E70" t="inlineStr"/>
      <c r="F70" t="inlineStr"/>
    </row>
    <row r="71">
      <c r="A71" t="n">
        <v>70</v>
      </c>
      <c r="B71" t="inlineStr">
        <is>
          <t>Felipe Quotadamo</t>
        </is>
      </c>
      <c r="C71" t="inlineStr">
        <is>
          <t>quotadamo-felipe</t>
        </is>
      </c>
      <c r="D71">
        <f>HYPERLINK("https://www.procyclingstats.com/search.php?term=Felipe+Quotadamo","Cerca")</f>
        <v/>
      </c>
      <c r="E71" t="inlineStr"/>
      <c r="F71" t="inlineStr"/>
    </row>
    <row r="72">
      <c r="A72" t="n">
        <v>71</v>
      </c>
      <c r="B72" t="inlineStr">
        <is>
          <t>Flückiger Dennis</t>
        </is>
      </c>
      <c r="C72" t="inlineStr">
        <is>
          <t>dennis-fluckiger</t>
        </is>
      </c>
      <c r="D72">
        <f>HYPERLINK("https://www.procyclingstats.com/search.php?term=Flückiger+Dennis","Cerca")</f>
        <v/>
      </c>
      <c r="E72" t="inlineStr"/>
      <c r="F72" t="inlineStr"/>
    </row>
    <row r="73">
      <c r="A73" t="n">
        <v>72</v>
      </c>
      <c r="B73" t="inlineStr">
        <is>
          <t>Francescangeli Tommaso</t>
        </is>
      </c>
      <c r="C73" t="inlineStr">
        <is>
          <t>tommaso-francescangeli</t>
        </is>
      </c>
      <c r="D73">
        <f>HYPERLINK("https://www.procyclingstats.com/search.php?term=Francescangeli+Tommaso","Cerca")</f>
        <v/>
      </c>
      <c r="E73" t="inlineStr"/>
      <c r="F73" t="inlineStr"/>
    </row>
    <row r="74">
      <c r="A74" t="n">
        <v>73</v>
      </c>
      <c r="B74" t="inlineStr">
        <is>
          <t>Frydkjær Patrick Boje</t>
        </is>
      </c>
      <c r="C74" t="inlineStr">
        <is>
          <t>patrick-boje-frydkj-r</t>
        </is>
      </c>
      <c r="D74">
        <f>HYPERLINK("https://www.procyclingstats.com/search.php?term=Frydkjær+Patrick+Boje","Cerca")</f>
        <v/>
      </c>
      <c r="E74" t="inlineStr"/>
      <c r="F74" t="inlineStr"/>
    </row>
    <row r="75">
      <c r="A75" t="n">
        <v>74</v>
      </c>
      <c r="B75" t="inlineStr">
        <is>
          <t>GALFRE' JACOPO</t>
        </is>
      </c>
      <c r="C75" t="inlineStr">
        <is>
          <t>jacopo-galfre</t>
        </is>
      </c>
      <c r="D75">
        <f>HYPERLINK("https://www.procyclingstats.com/search.php?term=GALFRE'+JACOPO","Cerca")</f>
        <v/>
      </c>
      <c r="E75" t="inlineStr"/>
      <c r="F75" t="inlineStr"/>
    </row>
    <row r="76">
      <c r="A76" t="n">
        <v>75</v>
      </c>
      <c r="B76" t="inlineStr">
        <is>
          <t>GARCIA BARENO DOMINGUEZ NABYENKA</t>
        </is>
      </c>
      <c r="C76" t="inlineStr">
        <is>
          <t>bareno-dominguez-nabyenka-garcia</t>
        </is>
      </c>
      <c r="D76">
        <f>HYPERLINK("https://www.procyclingstats.com/search.php?term=GARCIA+BARENO+DOMINGUEZ+NABYENKA","Cerca")</f>
        <v/>
      </c>
      <c r="E76" t="inlineStr"/>
      <c r="F76" t="inlineStr"/>
    </row>
    <row r="77">
      <c r="A77" t="n">
        <v>76</v>
      </c>
      <c r="B77" t="inlineStr">
        <is>
          <t>GENOVESE RICCARDO</t>
        </is>
      </c>
      <c r="C77" t="inlineStr">
        <is>
          <t>riccardo-genovese</t>
        </is>
      </c>
      <c r="D77">
        <f>HYPERLINK("https://www.procyclingstats.com/search.php?term=GENOVESE+RICCARDO","Cerca")</f>
        <v/>
      </c>
      <c r="E77" t="inlineStr"/>
      <c r="F77" t="inlineStr"/>
    </row>
    <row r="78">
      <c r="A78" t="n">
        <v>77</v>
      </c>
      <c r="B78" t="inlineStr">
        <is>
          <t>GENTILE ANGELO</t>
        </is>
      </c>
      <c r="C78" t="inlineStr">
        <is>
          <t>angelo-gentile</t>
        </is>
      </c>
      <c r="D78">
        <f>HYPERLINK("https://www.procyclingstats.com/search.php?term=GENTILE+ANGELO","Cerca")</f>
        <v/>
      </c>
      <c r="E78" t="inlineStr"/>
      <c r="F78" t="inlineStr"/>
    </row>
    <row r="79">
      <c r="A79" t="n">
        <v>78</v>
      </c>
      <c r="B79" t="inlineStr">
        <is>
          <t>GERACI SALVATORE</t>
        </is>
      </c>
      <c r="C79" t="inlineStr">
        <is>
          <t>salvatore-geraci</t>
        </is>
      </c>
      <c r="D79">
        <f>HYPERLINK("https://www.procyclingstats.com/search.php?term=GERACI+SALVATORE","Cerca")</f>
        <v/>
      </c>
      <c r="E79" t="inlineStr"/>
      <c r="F79" t="inlineStr"/>
    </row>
    <row r="80">
      <c r="A80" t="n">
        <v>79</v>
      </c>
      <c r="B80" t="inlineStr">
        <is>
          <t>GIOVANNINI LEONARDO</t>
        </is>
      </c>
      <c r="C80" t="inlineStr">
        <is>
          <t>leonardo-giovannini</t>
        </is>
      </c>
      <c r="D80">
        <f>HYPERLINK("https://www.procyclingstats.com/search.php?term=GIOVANNINI+LEONARDO","Cerca")</f>
        <v/>
      </c>
      <c r="E80" t="inlineStr"/>
      <c r="F80" t="inlineStr"/>
    </row>
    <row r="81">
      <c r="A81" t="n">
        <v>80</v>
      </c>
      <c r="B81" t="inlineStr">
        <is>
          <t>Gaffney David</t>
        </is>
      </c>
      <c r="C81" t="inlineStr">
        <is>
          <t>david-gaffney</t>
        </is>
      </c>
      <c r="D81">
        <f>HYPERLINK("https://www.procyclingstats.com/search.php?term=Gaffney+David","Cerca")</f>
        <v/>
      </c>
      <c r="E81" t="inlineStr"/>
      <c r="F81" t="inlineStr"/>
    </row>
    <row r="82">
      <c r="A82" t="n">
        <v>81</v>
      </c>
      <c r="B82" t="inlineStr">
        <is>
          <t>Garcia Rodrigo</t>
        </is>
      </c>
      <c r="C82" t="inlineStr">
        <is>
          <t>rodrigo-garcia</t>
        </is>
      </c>
      <c r="D82">
        <f>HYPERLINK("https://www.procyclingstats.com/search.php?term=Garcia+Rodrigo","Cerca")</f>
        <v/>
      </c>
      <c r="E82" t="inlineStr"/>
      <c r="F82" t="inlineStr"/>
    </row>
    <row r="83">
      <c r="A83" t="n">
        <v>82</v>
      </c>
      <c r="B83" t="inlineStr">
        <is>
          <t>Genghini Giacomo</t>
        </is>
      </c>
      <c r="C83" t="inlineStr">
        <is>
          <t>giacomo-genghini</t>
        </is>
      </c>
      <c r="D83">
        <f>HYPERLINK("https://www.procyclingstats.com/search.php?term=Genghini+Giacomo","Cerca")</f>
        <v/>
      </c>
      <c r="E83" t="inlineStr"/>
      <c r="F83" t="inlineStr"/>
    </row>
    <row r="84">
      <c r="A84" t="n">
        <v>83</v>
      </c>
      <c r="B84" t="inlineStr">
        <is>
          <t>Gualtieri Samuel</t>
        </is>
      </c>
      <c r="C84" t="inlineStr">
        <is>
          <t>samuel-gualtieri</t>
        </is>
      </c>
      <c r="D84">
        <f>HYPERLINK("https://www.procyclingstats.com/search.php?term=Gualtieri+Samuel","Cerca")</f>
        <v/>
      </c>
      <c r="E84" t="inlineStr"/>
      <c r="F84" t="inlineStr"/>
    </row>
    <row r="85">
      <c r="A85" t="n">
        <v>84</v>
      </c>
      <c r="B85" t="inlineStr">
        <is>
          <t>HINOJOSA CRUZ ROMINA</t>
        </is>
      </c>
      <c r="C85" t="inlineStr">
        <is>
          <t>cruz-romina-hinojosa</t>
        </is>
      </c>
      <c r="D85">
        <f>HYPERLINK("https://www.procyclingstats.com/search.php?term=HINOJOSA+CRUZ+ROMINA","Cerca")</f>
        <v/>
      </c>
      <c r="E85" t="inlineStr"/>
      <c r="F85" t="inlineStr"/>
    </row>
    <row r="86">
      <c r="A86" t="n">
        <v>85</v>
      </c>
      <c r="B86" t="inlineStr">
        <is>
          <t>HIYOSHI AYAKA</t>
        </is>
      </c>
      <c r="C86" t="inlineStr">
        <is>
          <t>ayaka-hiyoshi</t>
        </is>
      </c>
      <c r="D86">
        <f>HYPERLINK("https://www.procyclingstats.com/search.php?term=HIYOSHI+AYAKA","Cerca")</f>
        <v/>
      </c>
      <c r="E86" t="inlineStr"/>
      <c r="F86" t="inlineStr"/>
    </row>
    <row r="87">
      <c r="A87" t="n">
        <v>86</v>
      </c>
      <c r="B87" t="inlineStr">
        <is>
          <t>IAKOVLEV MATVEL</t>
        </is>
      </c>
      <c r="C87" t="inlineStr">
        <is>
          <t>matvel-iakovlev</t>
        </is>
      </c>
      <c r="D87">
        <f>HYPERLINK("https://www.procyclingstats.com/search.php?term=IAKOVLEV+MATVEL","Cerca")</f>
        <v/>
      </c>
      <c r="E87" t="inlineStr"/>
      <c r="F87" t="inlineStr"/>
    </row>
    <row r="88">
      <c r="A88" t="n">
        <v>87</v>
      </c>
      <c r="B88" t="inlineStr">
        <is>
          <t>IETTA EDOARDO</t>
        </is>
      </c>
      <c r="C88" t="inlineStr">
        <is>
          <t>edoardo-ietta</t>
        </is>
      </c>
      <c r="D88">
        <f>HYPERLINK("https://www.procyclingstats.com/search.php?term=IETTA+EDOARDO","Cerca")</f>
        <v/>
      </c>
      <c r="E88" t="inlineStr"/>
      <c r="F88" t="inlineStr"/>
    </row>
    <row r="89">
      <c r="A89" t="n">
        <v>88</v>
      </c>
      <c r="B89" t="inlineStr">
        <is>
          <t>Iakolev Matvei</t>
        </is>
      </c>
      <c r="C89" t="inlineStr">
        <is>
          <t>matvei-iakolev</t>
        </is>
      </c>
      <c r="D89">
        <f>HYPERLINK("https://www.procyclingstats.com/search.php?term=Iakolev+Matvei","Cerca")</f>
        <v/>
      </c>
      <c r="E89" t="inlineStr"/>
      <c r="F89" t="inlineStr"/>
    </row>
    <row r="90">
      <c r="A90" t="n">
        <v>89</v>
      </c>
      <c r="B90" t="inlineStr">
        <is>
          <t>Jakobsons Marks</t>
        </is>
      </c>
      <c r="C90" t="inlineStr">
        <is>
          <t>marks-jakobsons</t>
        </is>
      </c>
      <c r="D90">
        <f>HYPERLINK("https://www.procyclingstats.com/search.php?term=Jakobsons+Marks","Cerca")</f>
        <v/>
      </c>
      <c r="E90" t="inlineStr"/>
      <c r="F90" t="inlineStr"/>
    </row>
    <row r="91">
      <c r="A91" t="n">
        <v>90</v>
      </c>
      <c r="B91" t="inlineStr">
        <is>
          <t>Johnson Joshua</t>
        </is>
      </c>
      <c r="C91" t="inlineStr">
        <is>
          <t>joshua-johnson</t>
        </is>
      </c>
      <c r="D91">
        <f>HYPERLINK("https://www.procyclingstats.com/search.php?term=Johnson+Joshua","Cerca")</f>
        <v/>
      </c>
      <c r="E91" t="inlineStr"/>
      <c r="F91" t="inlineStr"/>
    </row>
    <row r="92">
      <c r="A92" t="n">
        <v>91</v>
      </c>
      <c r="B92" t="inlineStr">
        <is>
          <t>Jørgensen Tiril</t>
        </is>
      </c>
      <c r="C92" t="inlineStr">
        <is>
          <t>tiril-j-rgensen</t>
        </is>
      </c>
      <c r="D92">
        <f>HYPERLINK("https://www.procyclingstats.com/search.php?term=Jørgensen+Tiril","Cerca")</f>
        <v/>
      </c>
      <c r="E92" t="inlineStr"/>
      <c r="F92" t="inlineStr"/>
    </row>
    <row r="93">
      <c r="A93" t="n">
        <v>92</v>
      </c>
      <c r="B93" t="inlineStr">
        <is>
          <t>KLAU JACKSON</t>
        </is>
      </c>
      <c r="C93" t="inlineStr">
        <is>
          <t>jackson-klau</t>
        </is>
      </c>
      <c r="D93">
        <f>HYPERLINK("https://www.procyclingstats.com/search.php?term=KLAU+JACKSON","Cerca")</f>
        <v/>
      </c>
      <c r="E93" t="inlineStr"/>
      <c r="F93" t="inlineStr"/>
    </row>
    <row r="94">
      <c r="A94" t="n">
        <v>93</v>
      </c>
      <c r="B94" t="inlineStr">
        <is>
          <t>KONONENKO VALERIIA</t>
        </is>
      </c>
      <c r="C94" t="inlineStr">
        <is>
          <t>valeriia-kononenko</t>
        </is>
      </c>
      <c r="D94">
        <f>HYPERLINK("https://www.procyclingstats.com/search.php?term=KONONENKO+VALERIIA","Cerca")</f>
        <v/>
      </c>
      <c r="E94" t="inlineStr"/>
      <c r="F94" t="inlineStr"/>
    </row>
    <row r="95">
      <c r="A95" t="n">
        <v>94</v>
      </c>
      <c r="B95" t="inlineStr">
        <is>
          <t>KOSTINA OLGA</t>
        </is>
      </c>
      <c r="C95" t="inlineStr">
        <is>
          <t>olga-kostina</t>
        </is>
      </c>
      <c r="D95">
        <f>HYPERLINK("https://www.procyclingstats.com/search.php?term=KOSTINA+OLGA","Cerca")</f>
        <v/>
      </c>
      <c r="E95" t="inlineStr"/>
      <c r="F95" t="inlineStr"/>
    </row>
    <row r="96">
      <c r="A96" t="n">
        <v>95</v>
      </c>
      <c r="B96" t="inlineStr">
        <is>
          <t>KUNTARIC ZIBERT VANJA</t>
        </is>
      </c>
      <c r="C96" t="inlineStr">
        <is>
          <t>zibert-vanja-kuntaric</t>
        </is>
      </c>
      <c r="D96">
        <f>HYPERLINK("https://www.procyclingstats.com/search.php?term=KUNTARIC+ZIBERT+VANJA","Cerca")</f>
        <v/>
      </c>
      <c r="E96" t="inlineStr"/>
      <c r="F96" t="inlineStr"/>
    </row>
    <row r="97">
      <c r="A97" t="n">
        <v>96</v>
      </c>
      <c r="B97" t="inlineStr">
        <is>
          <t>Kancers Helvijs</t>
        </is>
      </c>
      <c r="C97" t="inlineStr">
        <is>
          <t>helvijs-kancers</t>
        </is>
      </c>
      <c r="D97">
        <f>HYPERLINK("https://www.procyclingstats.com/search.php?term=Kancers+Helvijs","Cerca")</f>
        <v/>
      </c>
      <c r="E97" t="inlineStr"/>
      <c r="F97" t="inlineStr"/>
    </row>
    <row r="98">
      <c r="A98" t="n">
        <v>97</v>
      </c>
      <c r="B98" t="inlineStr">
        <is>
          <t>Kołkowicz Karolina</t>
        </is>
      </c>
      <c r="C98" t="inlineStr">
        <is>
          <t>karolina-ko-kowicz</t>
        </is>
      </c>
      <c r="D98">
        <f>HYPERLINK("https://www.procyclingstats.com/search.php?term=Kołkowicz+Karolina","Cerca")</f>
        <v/>
      </c>
      <c r="E98" t="inlineStr"/>
      <c r="F98" t="inlineStr"/>
    </row>
    <row r="99">
      <c r="A99" t="n">
        <v>98</v>
      </c>
      <c r="B99" t="inlineStr">
        <is>
          <t>LA BELLA ELEONORA</t>
        </is>
      </c>
      <c r="C99" t="inlineStr">
        <is>
          <t>bella-eleonora-la</t>
        </is>
      </c>
      <c r="D99">
        <f>HYPERLINK("https://www.procyclingstats.com/search.php?term=LA+BELLA+ELEONORA","Cerca")</f>
        <v/>
      </c>
      <c r="E99" t="inlineStr"/>
      <c r="F99" t="inlineStr"/>
    </row>
    <row r="100">
      <c r="A100" t="n">
        <v>99</v>
      </c>
      <c r="B100" t="inlineStr">
        <is>
          <t>LINGENHAG LAURIN</t>
        </is>
      </c>
      <c r="C100" t="inlineStr">
        <is>
          <t>laurin-lingenhag</t>
        </is>
      </c>
      <c r="D100">
        <f>HYPERLINK("https://www.procyclingstats.com/search.php?term=LINGENHAG+LAURIN","Cerca")</f>
        <v/>
      </c>
      <c r="E100" t="inlineStr"/>
      <c r="F100" t="inlineStr"/>
    </row>
    <row r="101">
      <c r="A101" t="n">
        <v>100</v>
      </c>
      <c r="B101" t="inlineStr">
        <is>
          <t>LOVER MEDEOT TOMAZ</t>
        </is>
      </c>
      <c r="C101" t="inlineStr">
        <is>
          <t>tomaz-lover-medeot</t>
        </is>
      </c>
      <c r="D101">
        <f>HYPERLINK("https://www.procyclingstats.com/search.php?term=LOVER+MEDEOT+TOMAZ","Cerca")</f>
        <v/>
      </c>
      <c r="E101" t="inlineStr"/>
      <c r="F101" t="inlineStr"/>
    </row>
    <row r="102">
      <c r="A102" t="n">
        <v>101</v>
      </c>
      <c r="B102" t="inlineStr">
        <is>
          <t>LUDWIG UTTRUP CECILIE</t>
        </is>
      </c>
      <c r="C102" t="inlineStr">
        <is>
          <t>uttrup-ludwig</t>
        </is>
      </c>
      <c r="D102">
        <f>HYPERLINK("https://www.procyclingstats.com/search.php?term=LUDWIG+UTTRUP+CECILIE","Cerca")</f>
        <v/>
      </c>
      <c r="E102" t="inlineStr"/>
      <c r="F102" t="inlineStr"/>
    </row>
    <row r="103">
      <c r="A103" t="n">
        <v>102</v>
      </c>
      <c r="B103" t="inlineStr">
        <is>
          <t>La Face Giuseppe</t>
        </is>
      </c>
      <c r="C103" t="inlineStr">
        <is>
          <t>face-giuseppe-la</t>
        </is>
      </c>
      <c r="D103">
        <f>HYPERLINK("https://www.procyclingstats.com/search.php?term=La+Face+Giuseppe","Cerca")</f>
        <v/>
      </c>
      <c r="E103" t="inlineStr"/>
      <c r="F103" t="inlineStr"/>
    </row>
    <row r="104">
      <c r="A104" t="n">
        <v>103</v>
      </c>
      <c r="B104" t="inlineStr">
        <is>
          <t>Lapi Luca</t>
        </is>
      </c>
      <c r="C104" t="inlineStr">
        <is>
          <t>luca-lapi</t>
        </is>
      </c>
      <c r="D104">
        <f>HYPERLINK("https://www.procyclingstats.com/search.php?term=Lapi+Luca","Cerca")</f>
        <v/>
      </c>
      <c r="E104" t="inlineStr"/>
      <c r="F104" t="inlineStr"/>
    </row>
    <row r="105">
      <c r="A105" t="n">
        <v>104</v>
      </c>
      <c r="B105" t="inlineStr">
        <is>
          <t>Lauria Andrea</t>
        </is>
      </c>
      <c r="C105" t="inlineStr">
        <is>
          <t>andrea-lauria</t>
        </is>
      </c>
      <c r="D105">
        <f>HYPERLINK("https://www.procyclingstats.com/search.php?term=Lauria+Andrea","Cerca")</f>
        <v/>
      </c>
      <c r="E105" t="inlineStr"/>
      <c r="F105" t="inlineStr"/>
    </row>
    <row r="106">
      <c r="A106" t="n">
        <v>105</v>
      </c>
      <c r="B106" t="inlineStr">
        <is>
          <t>Le Court-Pienaar Kim</t>
        </is>
      </c>
      <c r="C106" t="inlineStr">
        <is>
          <t>court-pienaar-kim-le</t>
        </is>
      </c>
      <c r="D106">
        <f>HYPERLINK("https://www.procyclingstats.com/search.php?term=Le+Court-Pienaar+Kim","Cerca")</f>
        <v/>
      </c>
      <c r="E106" t="inlineStr"/>
      <c r="F106" t="inlineStr"/>
    </row>
    <row r="107">
      <c r="A107" t="n">
        <v>106</v>
      </c>
      <c r="B107" t="inlineStr">
        <is>
          <t>Lega Niccolo'</t>
        </is>
      </c>
      <c r="C107" t="inlineStr">
        <is>
          <t>niccolo-lega</t>
        </is>
      </c>
      <c r="D107">
        <f>HYPERLINK("https://www.procyclingstats.com/search.php?term=Lega+Niccolo'","Cerca")</f>
        <v/>
      </c>
      <c r="E107" t="inlineStr"/>
      <c r="F107" t="inlineStr"/>
    </row>
    <row r="108">
      <c r="A108" t="n">
        <v>107</v>
      </c>
      <c r="B108" t="inlineStr">
        <is>
          <t>Limardo Damiano</t>
        </is>
      </c>
      <c r="C108" t="inlineStr">
        <is>
          <t>damiano-limardo</t>
        </is>
      </c>
      <c r="D108">
        <f>HYPERLINK("https://www.procyclingstats.com/search.php?term=Limardo+Damiano","Cerca")</f>
        <v/>
      </c>
      <c r="E108" t="inlineStr"/>
      <c r="F108" t="inlineStr"/>
    </row>
    <row r="109">
      <c r="A109" t="n">
        <v>108</v>
      </c>
      <c r="B109" t="inlineStr">
        <is>
          <t>Limonta Daniele</t>
        </is>
      </c>
      <c r="C109" t="inlineStr">
        <is>
          <t>daniele-limonta</t>
        </is>
      </c>
      <c r="D109">
        <f>HYPERLINK("https://www.procyclingstats.com/search.php?term=Limonta+Daniele","Cerca")</f>
        <v/>
      </c>
      <c r="E109" t="inlineStr"/>
      <c r="F109" t="inlineStr"/>
    </row>
    <row r="110">
      <c r="A110" t="n">
        <v>109</v>
      </c>
      <c r="B110" t="inlineStr">
        <is>
          <t>Lo Piccolo Domenico</t>
        </is>
      </c>
      <c r="C110" t="inlineStr">
        <is>
          <t>piccolo-domenico-lo</t>
        </is>
      </c>
      <c r="D110">
        <f>HYPERLINK("https://www.procyclingstats.com/search.php?term=Lo+Piccolo+Domenico","Cerca")</f>
        <v/>
      </c>
      <c r="E110" t="inlineStr"/>
      <c r="F110" t="inlineStr"/>
    </row>
    <row r="111">
      <c r="A111" t="n">
        <v>110</v>
      </c>
      <c r="B111" t="inlineStr">
        <is>
          <t>Londoño Juliana</t>
        </is>
      </c>
      <c r="C111" t="inlineStr">
        <is>
          <t>juliana-londono</t>
        </is>
      </c>
      <c r="D111">
        <f>HYPERLINK("https://www.procyclingstats.com/search.php?term=Londoño+Juliana","Cerca")</f>
        <v/>
      </c>
      <c r="E111" t="inlineStr"/>
      <c r="F111" t="inlineStr"/>
    </row>
    <row r="112">
      <c r="A112" t="n">
        <v>111</v>
      </c>
      <c r="B112" t="inlineStr">
        <is>
          <t>Lotti Zeno</t>
        </is>
      </c>
      <c r="C112" t="inlineStr">
        <is>
          <t>zeno-lotti</t>
        </is>
      </c>
      <c r="D112">
        <f>HYPERLINK("https://www.procyclingstats.com/search.php?term=Lotti+Zeno","Cerca")</f>
        <v/>
      </c>
      <c r="E112" t="inlineStr"/>
      <c r="F112" t="inlineStr"/>
    </row>
    <row r="113">
      <c r="A113" t="n">
        <v>112</v>
      </c>
      <c r="B113" t="inlineStr">
        <is>
          <t>Luzzi Gabriele</t>
        </is>
      </c>
      <c r="C113" t="inlineStr">
        <is>
          <t>gabriele-luzzi</t>
        </is>
      </c>
      <c r="D113">
        <f>HYPERLINK("https://www.procyclingstats.com/search.php?term=Luzzi+Gabriele","Cerca")</f>
        <v/>
      </c>
      <c r="E113" t="inlineStr"/>
      <c r="F113" t="inlineStr"/>
    </row>
    <row r="114">
      <c r="A114" t="n">
        <v>113</v>
      </c>
      <c r="B114" t="inlineStr">
        <is>
          <t>MANCA SAMUELE</t>
        </is>
      </c>
      <c r="C114" t="inlineStr">
        <is>
          <t>samuele-manca</t>
        </is>
      </c>
      <c r="D114">
        <f>HYPERLINK("https://www.procyclingstats.com/search.php?term=MANCA+SAMUELE","Cerca")</f>
        <v/>
      </c>
      <c r="E114" t="inlineStr"/>
      <c r="F114" t="inlineStr"/>
    </row>
    <row r="115">
      <c r="A115" t="n">
        <v>114</v>
      </c>
      <c r="B115" t="inlineStr">
        <is>
          <t>MANNU FRANCESCO</t>
        </is>
      </c>
      <c r="C115" t="inlineStr">
        <is>
          <t>francesco-mannu</t>
        </is>
      </c>
      <c r="D115">
        <f>HYPERLINK("https://www.procyclingstats.com/search.php?term=MANNU+FRANCESCO","Cerca")</f>
        <v/>
      </c>
      <c r="E115" t="inlineStr"/>
      <c r="F115" t="inlineStr"/>
    </row>
    <row r="116">
      <c r="A116" t="n">
        <v>115</v>
      </c>
      <c r="B116" t="inlineStr">
        <is>
          <t>MANTOVANI GIULIO</t>
        </is>
      </c>
      <c r="C116" t="inlineStr">
        <is>
          <t>giulio-mantovani</t>
        </is>
      </c>
      <c r="D116">
        <f>HYPERLINK("https://www.procyclingstats.com/search.php?term=MANTOVANI+GIULIO","Cerca")</f>
        <v/>
      </c>
      <c r="E116" t="inlineStr"/>
      <c r="F116" t="inlineStr"/>
    </row>
    <row r="117">
      <c r="A117" t="n">
        <v>116</v>
      </c>
      <c r="B117" t="inlineStr">
        <is>
          <t>MARCHIONE GIACOMO</t>
        </is>
      </c>
      <c r="C117" t="inlineStr">
        <is>
          <t>giacomo-marchione</t>
        </is>
      </c>
      <c r="D117">
        <f>HYPERLINK("https://www.procyclingstats.com/search.php?term=MARCHIONE+GIACOMO","Cerca")</f>
        <v/>
      </c>
      <c r="E117" t="inlineStr"/>
      <c r="F117" t="inlineStr"/>
    </row>
    <row r="118">
      <c r="A118" t="n">
        <v>117</v>
      </c>
      <c r="B118" t="inlineStr">
        <is>
          <t>MARETTA GABRIELE</t>
        </is>
      </c>
      <c r="C118" t="inlineStr">
        <is>
          <t>gabriele-maretta</t>
        </is>
      </c>
      <c r="D118">
        <f>HYPERLINK("https://www.procyclingstats.com/search.php?term=MARETTA+GABRIELE","Cerca")</f>
        <v/>
      </c>
      <c r="E118" t="inlineStr"/>
      <c r="F118" t="inlineStr"/>
    </row>
    <row r="119">
      <c r="A119" t="n">
        <v>118</v>
      </c>
      <c r="B119" t="inlineStr">
        <is>
          <t>MATYASIK MAKSYMILIAN</t>
        </is>
      </c>
      <c r="C119" t="inlineStr">
        <is>
          <t>maksymilian-matyasik</t>
        </is>
      </c>
      <c r="D119">
        <f>HYPERLINK("https://www.procyclingstats.com/search.php?term=MATYASIK+MAKSYMILIAN","Cerca")</f>
        <v/>
      </c>
      <c r="E119" t="inlineStr"/>
      <c r="F119" t="inlineStr"/>
    </row>
    <row r="120">
      <c r="A120" t="n">
        <v>119</v>
      </c>
      <c r="B120" t="inlineStr">
        <is>
          <t>MAZZOLENI LUCA</t>
        </is>
      </c>
      <c r="C120" t="inlineStr">
        <is>
          <t>luca-mazzoleni</t>
        </is>
      </c>
      <c r="D120">
        <f>HYPERLINK("https://www.procyclingstats.com/search.php?term=MAZZOLENI+LUCA","Cerca")</f>
        <v/>
      </c>
      <c r="E120" t="inlineStr"/>
      <c r="F120" t="inlineStr"/>
    </row>
    <row r="121">
      <c r="A121" t="n">
        <v>120</v>
      </c>
      <c r="B121" t="inlineStr">
        <is>
          <t>MILAKI ARGYRO</t>
        </is>
      </c>
      <c r="C121" t="inlineStr">
        <is>
          <t>argyro-milaki</t>
        </is>
      </c>
      <c r="D121">
        <f>HYPERLINK("https://www.procyclingstats.com/search.php?term=MILAKI+ARGYRO","Cerca")</f>
        <v/>
      </c>
      <c r="E121" t="inlineStr"/>
      <c r="F121" t="inlineStr"/>
    </row>
    <row r="122">
      <c r="A122" t="n">
        <v>121</v>
      </c>
      <c r="B122" t="inlineStr">
        <is>
          <t>MILANI LORENZO</t>
        </is>
      </c>
      <c r="C122" t="inlineStr">
        <is>
          <t>lorenzo-milani</t>
        </is>
      </c>
      <c r="D122">
        <f>HYPERLINK("https://www.procyclingstats.com/search.php?term=MILANI+LORENZO","Cerca")</f>
        <v/>
      </c>
      <c r="E122" t="inlineStr"/>
      <c r="F122" t="inlineStr"/>
    </row>
    <row r="123">
      <c r="A123" t="n">
        <v>122</v>
      </c>
      <c r="B123" t="inlineStr">
        <is>
          <t>MISHANKOV MAKSIM</t>
        </is>
      </c>
      <c r="C123" t="inlineStr">
        <is>
          <t>maksim-mishankov</t>
        </is>
      </c>
      <c r="D123">
        <f>HYPERLINK("https://www.procyclingstats.com/search.php?term=MISHANKOV+MAKSIM","Cerca")</f>
        <v/>
      </c>
      <c r="E123" t="inlineStr"/>
      <c r="F123" t="inlineStr"/>
    </row>
    <row r="124">
      <c r="A124" t="n">
        <v>123</v>
      </c>
      <c r="B124" t="inlineStr">
        <is>
          <t>MOCCI EDOARDO</t>
        </is>
      </c>
      <c r="C124" t="inlineStr">
        <is>
          <t>edoardo-mocci</t>
        </is>
      </c>
      <c r="D124">
        <f>HYPERLINK("https://www.procyclingstats.com/search.php?term=MOCCI+EDOARDO","Cerca")</f>
        <v/>
      </c>
      <c r="E124" t="inlineStr"/>
      <c r="F124" t="inlineStr"/>
    </row>
    <row r="125">
      <c r="A125" t="n">
        <v>124</v>
      </c>
      <c r="B125" t="inlineStr">
        <is>
          <t>MOLLO GIANMARIA</t>
        </is>
      </c>
      <c r="C125" t="inlineStr">
        <is>
          <t>gianmaria-mollo</t>
        </is>
      </c>
      <c r="D125">
        <f>HYPERLINK("https://www.procyclingstats.com/search.php?term=MOLLO+GIANMARIA","Cerca")</f>
        <v/>
      </c>
      <c r="E125" t="inlineStr"/>
      <c r="F125" t="inlineStr"/>
    </row>
    <row r="126">
      <c r="A126" t="n">
        <v>125</v>
      </c>
      <c r="B126" t="inlineStr">
        <is>
          <t>MORENO GARCIA DANIEL SANTIAGO</t>
        </is>
      </c>
      <c r="C126" t="inlineStr">
        <is>
          <t>garcia-daniel-santiago-moreno</t>
        </is>
      </c>
      <c r="D126">
        <f>HYPERLINK("https://www.procyclingstats.com/search.php?term=MORENO+GARCIA+DANIEL+SANTIAGO","Cerca")</f>
        <v/>
      </c>
      <c r="E126" t="inlineStr"/>
      <c r="F126" t="inlineStr"/>
    </row>
    <row r="127">
      <c r="A127" t="n">
        <v>126</v>
      </c>
      <c r="B127" t="inlineStr">
        <is>
          <t>MURA ANDREA</t>
        </is>
      </c>
      <c r="C127" t="inlineStr">
        <is>
          <t>andrea-mura</t>
        </is>
      </c>
      <c r="D127">
        <f>HYPERLINK("https://www.procyclingstats.com/search.php?term=MURA+ANDREA","Cerca")</f>
        <v/>
      </c>
      <c r="E127" t="inlineStr"/>
      <c r="F127" t="inlineStr"/>
    </row>
    <row r="128">
      <c r="A128" t="n">
        <v>127</v>
      </c>
      <c r="B128" t="inlineStr">
        <is>
          <t>Magni Daniele</t>
        </is>
      </c>
      <c r="C128" t="inlineStr">
        <is>
          <t>daniele-magni</t>
        </is>
      </c>
      <c r="D128">
        <f>HYPERLINK("https://www.procyclingstats.com/search.php?term=Magni+Daniele","Cerca")</f>
        <v/>
      </c>
      <c r="E128" t="inlineStr"/>
      <c r="F128" t="inlineStr"/>
    </row>
    <row r="129">
      <c r="A129" t="n">
        <v>128</v>
      </c>
      <c r="B129" t="inlineStr">
        <is>
          <t>Maranchón Enrique</t>
        </is>
      </c>
      <c r="C129" t="inlineStr">
        <is>
          <t>enrique-maranchon</t>
        </is>
      </c>
      <c r="D129">
        <f>HYPERLINK("https://www.procyclingstats.com/search.php?term=Maranchón+Enrique","Cerca")</f>
        <v/>
      </c>
      <c r="E129" t="inlineStr"/>
      <c r="F129" t="inlineStr"/>
    </row>
    <row r="130">
      <c r="A130" t="n">
        <v>129</v>
      </c>
      <c r="B130" t="inlineStr">
        <is>
          <t>Marchina Leonardo</t>
        </is>
      </c>
      <c r="C130" t="inlineStr">
        <is>
          <t>leonardo-marchina</t>
        </is>
      </c>
      <c r="D130">
        <f>HYPERLINK("https://www.procyclingstats.com/search.php?term=Marchina+Leonardo","Cerca")</f>
        <v/>
      </c>
      <c r="E130" t="inlineStr"/>
      <c r="F130" t="inlineStr"/>
    </row>
    <row r="131">
      <c r="A131" t="n">
        <v>130</v>
      </c>
      <c r="B131" t="inlineStr">
        <is>
          <t>Martini Nicola</t>
        </is>
      </c>
      <c r="C131" t="inlineStr">
        <is>
          <t>nicola-martini</t>
        </is>
      </c>
      <c r="D131">
        <f>HYPERLINK("https://www.procyclingstats.com/search.php?term=Martini+Nicola","Cerca")</f>
        <v/>
      </c>
      <c r="E131" t="inlineStr"/>
      <c r="F131" t="inlineStr"/>
    </row>
    <row r="132">
      <c r="A132" t="n">
        <v>131</v>
      </c>
      <c r="B132" t="inlineStr">
        <is>
          <t>Martín Sara</t>
        </is>
      </c>
      <c r="C132" t="inlineStr">
        <is>
          <t>sara-martin</t>
        </is>
      </c>
      <c r="D132">
        <f>HYPERLINK("https://www.procyclingstats.com/search.php?term=Martín+Sara","Cerca")</f>
        <v/>
      </c>
      <c r="E132" t="inlineStr"/>
      <c r="F132" t="inlineStr"/>
    </row>
    <row r="133">
      <c r="A133" t="n">
        <v>132</v>
      </c>
      <c r="B133" t="inlineStr">
        <is>
          <t>Martínez Aitor</t>
        </is>
      </c>
      <c r="C133" t="inlineStr">
        <is>
          <t>aitor-martinez</t>
        </is>
      </c>
      <c r="D133">
        <f>HYPERLINK("https://www.procyclingstats.com/search.php?term=Martínez+Aitor","Cerca")</f>
        <v/>
      </c>
      <c r="E133" t="inlineStr"/>
      <c r="F133" t="inlineStr"/>
    </row>
    <row r="134">
      <c r="A134" t="n">
        <v>133</v>
      </c>
      <c r="B134" t="inlineStr">
        <is>
          <t>Micali Matteo</t>
        </is>
      </c>
      <c r="C134" t="inlineStr">
        <is>
          <t>matteo-micali</t>
        </is>
      </c>
      <c r="D134">
        <f>HYPERLINK("https://www.procyclingstats.com/search.php?term=Micali+Matteo","Cerca")</f>
        <v/>
      </c>
      <c r="E134" t="inlineStr"/>
      <c r="F134" t="inlineStr"/>
    </row>
    <row r="135">
      <c r="A135" t="n">
        <v>134</v>
      </c>
      <c r="B135" t="inlineStr">
        <is>
          <t>Moolman-Pasio Ashleigh</t>
        </is>
      </c>
      <c r="C135" t="inlineStr">
        <is>
          <t>ashleigh-moolman-pasio</t>
        </is>
      </c>
      <c r="D135">
        <f>HYPERLINK("https://www.procyclingstats.com/search.php?term=Moolman-Pasio+Ashleigh","Cerca")</f>
        <v/>
      </c>
      <c r="E135" t="inlineStr"/>
      <c r="F135" t="inlineStr"/>
    </row>
    <row r="136">
      <c r="A136" t="n">
        <v>135</v>
      </c>
      <c r="B136" t="inlineStr">
        <is>
          <t>Moretti Samuel</t>
        </is>
      </c>
      <c r="C136" t="inlineStr">
        <is>
          <t>samuel-moretti</t>
        </is>
      </c>
      <c r="D136">
        <f>HYPERLINK("https://www.procyclingstats.com/search.php?term=Moretti+Samuel","Cerca")</f>
        <v/>
      </c>
      <c r="E136" t="inlineStr"/>
      <c r="F136" t="inlineStr"/>
    </row>
    <row r="137">
      <c r="A137" t="n">
        <v>136</v>
      </c>
      <c r="B137" t="inlineStr">
        <is>
          <t>Muricci Leonardo</t>
        </is>
      </c>
      <c r="C137" t="inlineStr">
        <is>
          <t>leonardo-muricci</t>
        </is>
      </c>
      <c r="D137">
        <f>HYPERLINK("https://www.procyclingstats.com/search.php?term=Muricci+Leonardo","Cerca")</f>
        <v/>
      </c>
      <c r="E137" t="inlineStr"/>
      <c r="F137" t="inlineStr"/>
    </row>
    <row r="138">
      <c r="A138" t="n">
        <v>137</v>
      </c>
      <c r="B138" t="inlineStr">
        <is>
          <t>NOVAL SUAREZ BENJAMIN</t>
        </is>
      </c>
      <c r="C138" t="inlineStr">
        <is>
          <t>benjamin-noval-suarez</t>
        </is>
      </c>
      <c r="D138">
        <f>HYPERLINK("https://www.procyclingstats.com/search.php?term=NOVAL+SUAREZ+BENJAMIN","Cerca")</f>
        <v/>
      </c>
      <c r="E138" t="inlineStr"/>
      <c r="F138" t="inlineStr"/>
    </row>
    <row r="139">
      <c r="A139" t="n">
        <v>138</v>
      </c>
      <c r="B139" t="inlineStr">
        <is>
          <t>Noyola Marcela</t>
        </is>
      </c>
      <c r="C139" t="inlineStr">
        <is>
          <t>marcela-noyola</t>
        </is>
      </c>
      <c r="D139">
        <f>HYPERLINK("https://www.procyclingstats.com/search.php?term=Noyola+Marcela","Cerca")</f>
        <v/>
      </c>
      <c r="E139" t="inlineStr"/>
      <c r="F139" t="inlineStr"/>
    </row>
    <row r="140">
      <c r="A140" t="n">
        <v>139</v>
      </c>
      <c r="B140" t="inlineStr">
        <is>
          <t>ORHOLM-LONSETH SIND</t>
        </is>
      </c>
      <c r="C140" t="inlineStr">
        <is>
          <t>sind-orholm-lonseth</t>
        </is>
      </c>
      <c r="D140">
        <f>HYPERLINK("https://www.procyclingstats.com/search.php?term=ORHOLM-LONSETH+SIND","Cerca")</f>
        <v/>
      </c>
      <c r="E140" t="inlineStr"/>
      <c r="F140" t="inlineStr"/>
    </row>
    <row r="141">
      <c r="A141" t="n">
        <v>140</v>
      </c>
      <c r="B141" t="inlineStr">
        <is>
          <t>Odriozola Naxara</t>
        </is>
      </c>
      <c r="C141" t="inlineStr">
        <is>
          <t>naxara-odriozola</t>
        </is>
      </c>
      <c r="D141">
        <f>HYPERLINK("https://www.procyclingstats.com/search.php?term=Odriozola+Naxara","Cerca")</f>
        <v/>
      </c>
      <c r="E141" t="inlineStr"/>
      <c r="F141" t="inlineStr"/>
    </row>
    <row r="142">
      <c r="A142" t="n">
        <v>141</v>
      </c>
      <c r="B142" t="inlineStr">
        <is>
          <t>Orholm-Lønseth Sindre</t>
        </is>
      </c>
      <c r="C142" t="inlineStr">
        <is>
          <t>sindre-orholm-l-nseth</t>
        </is>
      </c>
      <c r="D142">
        <f>HYPERLINK("https://www.procyclingstats.com/search.php?term=Orholm-Lønseth+Sindre","Cerca")</f>
        <v/>
      </c>
      <c r="E142" t="inlineStr"/>
      <c r="F142" t="inlineStr"/>
    </row>
    <row r="143">
      <c r="A143" t="n">
        <v>142</v>
      </c>
      <c r="B143" t="inlineStr">
        <is>
          <t>Orlandi Giacomo</t>
        </is>
      </c>
      <c r="C143" t="inlineStr">
        <is>
          <t>giacomo-orlandi</t>
        </is>
      </c>
      <c r="D143">
        <f>HYPERLINK("https://www.procyclingstats.com/search.php?term=Orlandi+Giacomo","Cerca")</f>
        <v/>
      </c>
      <c r="E143" t="inlineStr"/>
      <c r="F143" t="inlineStr"/>
    </row>
    <row r="144">
      <c r="A144" t="n">
        <v>143</v>
      </c>
      <c r="B144" t="inlineStr">
        <is>
          <t>Orsi Riccardo</t>
        </is>
      </c>
      <c r="C144" t="inlineStr">
        <is>
          <t>riccardo-orsi</t>
        </is>
      </c>
      <c r="D144">
        <f>HYPERLINK("https://www.procyclingstats.com/search.php?term=Orsi+Riccardo","Cerca")</f>
        <v/>
      </c>
      <c r="E144" t="inlineStr"/>
      <c r="F144" t="inlineStr"/>
    </row>
    <row r="145">
      <c r="A145" t="n">
        <v>144</v>
      </c>
      <c r="B145" t="inlineStr">
        <is>
          <t>PAVI DEGL'INNOCENTI GIULIO</t>
        </is>
      </c>
      <c r="C145" t="inlineStr">
        <is>
          <t>degl-innocenti-giulio-pavi</t>
        </is>
      </c>
      <c r="D145">
        <f>HYPERLINK("https://www.procyclingstats.com/search.php?term=PAVI+DEGL'INNOCENTI+GIULIO","Cerca")</f>
        <v/>
      </c>
      <c r="E145" t="inlineStr"/>
      <c r="F145" t="inlineStr"/>
    </row>
    <row r="146">
      <c r="A146" t="n">
        <v>145</v>
      </c>
      <c r="B146" t="inlineStr">
        <is>
          <t>PENALVER ANIORTE MANUEL</t>
        </is>
      </c>
      <c r="C146" t="inlineStr">
        <is>
          <t>aniorte-manuel-penalver</t>
        </is>
      </c>
      <c r="D146">
        <f>HYPERLINK("https://www.procyclingstats.com/search.php?term=PENALVER+ANIORTE+MANUEL","Cerca")</f>
        <v/>
      </c>
      <c r="E146" t="inlineStr"/>
      <c r="F146" t="inlineStr"/>
    </row>
    <row r="147">
      <c r="A147" t="n">
        <v>146</v>
      </c>
      <c r="B147" t="inlineStr">
        <is>
          <t>PENEDA SOTO NATALIA</t>
        </is>
      </c>
      <c r="C147" t="inlineStr">
        <is>
          <t>natalia-peneda-soto</t>
        </is>
      </c>
      <c r="D147">
        <f>HYPERLINK("https://www.procyclingstats.com/search.php?term=PENEDA+SOTO+NATALIA","Cerca")</f>
        <v/>
      </c>
      <c r="E147" t="inlineStr"/>
      <c r="F147" t="inlineStr"/>
    </row>
    <row r="148">
      <c r="A148" t="n">
        <v>147</v>
      </c>
      <c r="B148" t="inlineStr">
        <is>
          <t>PINEDA SOTO NATALIA</t>
        </is>
      </c>
      <c r="C148" t="inlineStr">
        <is>
          <t>natalia-pineda-soto</t>
        </is>
      </c>
      <c r="D148">
        <f>HYPERLINK("https://www.procyclingstats.com/search.php?term=PINEDA+SOTO+NATALIA","Cerca")</f>
        <v/>
      </c>
      <c r="E148" t="inlineStr"/>
      <c r="F148" t="inlineStr"/>
    </row>
    <row r="149">
      <c r="A149" t="n">
        <v>148</v>
      </c>
      <c r="B149" t="inlineStr">
        <is>
          <t>PINNA ROBERTO</t>
        </is>
      </c>
      <c r="C149" t="inlineStr">
        <is>
          <t>roberto-pinna</t>
        </is>
      </c>
      <c r="D149">
        <f>HYPERLINK("https://www.procyclingstats.com/search.php?term=PINNA+ROBERTO","Cerca")</f>
        <v/>
      </c>
      <c r="E149" t="inlineStr"/>
      <c r="F149" t="inlineStr"/>
    </row>
    <row r="150">
      <c r="A150" t="n">
        <v>149</v>
      </c>
      <c r="B150" t="inlineStr">
        <is>
          <t>PITTA JACOPO</t>
        </is>
      </c>
      <c r="C150" t="inlineStr">
        <is>
          <t>jacopo-pitta</t>
        </is>
      </c>
      <c r="D150">
        <f>HYPERLINK("https://www.procyclingstats.com/search.php?term=PITTA+JACOPO","Cerca")</f>
        <v/>
      </c>
      <c r="E150" t="inlineStr"/>
      <c r="F150" t="inlineStr"/>
    </row>
    <row r="151">
      <c r="A151" t="n">
        <v>150</v>
      </c>
      <c r="B151" t="inlineStr">
        <is>
          <t>POLIUSHKO OLEKSANDER</t>
        </is>
      </c>
      <c r="C151" t="inlineStr">
        <is>
          <t>oleksander-poliushko</t>
        </is>
      </c>
      <c r="D151">
        <f>HYPERLINK("https://www.procyclingstats.com/search.php?term=POLIUSHKO+OLEKSANDER","Cerca")</f>
        <v/>
      </c>
      <c r="E151" t="inlineStr"/>
      <c r="F151" t="inlineStr"/>
    </row>
    <row r="152">
      <c r="A152" t="n">
        <v>151</v>
      </c>
      <c r="B152" t="inlineStr">
        <is>
          <t>PROSANDEEV IAROSLAV</t>
        </is>
      </c>
      <c r="C152" t="inlineStr">
        <is>
          <t>iaroslav-prosandeev</t>
        </is>
      </c>
      <c r="D152">
        <f>HYPERLINK("https://www.procyclingstats.com/search.php?term=PROSANDEEV+IAROSLAV","Cerca")</f>
        <v/>
      </c>
      <c r="E152" t="inlineStr"/>
      <c r="F152" t="inlineStr"/>
    </row>
    <row r="153">
      <c r="A153" t="n">
        <v>152</v>
      </c>
      <c r="B153" t="inlineStr">
        <is>
          <t>Paredes Manuel Sebastian</t>
        </is>
      </c>
      <c r="C153" t="inlineStr">
        <is>
          <t>manuel-sebastian-paredes</t>
        </is>
      </c>
      <c r="D153">
        <f>HYPERLINK("https://www.procyclingstats.com/search.php?term=Paredes+Manuel+Sebastian","Cerca")</f>
        <v/>
      </c>
      <c r="E153" t="inlineStr"/>
      <c r="F153" t="inlineStr"/>
    </row>
    <row r="154">
      <c r="A154" t="n">
        <v>153</v>
      </c>
      <c r="B154" t="inlineStr">
        <is>
          <t>Piccin Alessandro</t>
        </is>
      </c>
      <c r="C154" t="inlineStr">
        <is>
          <t>alessandro-piccin</t>
        </is>
      </c>
      <c r="D154">
        <f>HYPERLINK("https://www.procyclingstats.com/search.php?term=Piccin+Alessandro","Cerca")</f>
        <v/>
      </c>
      <c r="E154" t="inlineStr"/>
      <c r="F154" t="inlineStr"/>
    </row>
    <row r="155">
      <c r="A155" t="n">
        <v>154</v>
      </c>
      <c r="B155" t="inlineStr">
        <is>
          <t>Puigdefábregas Laia</t>
        </is>
      </c>
      <c r="C155" t="inlineStr">
        <is>
          <t>laia-puigdefabregas</t>
        </is>
      </c>
      <c r="D155">
        <f>HYPERLINK("https://www.procyclingstats.com/search.php?term=Puigdefábregas+Laia","Cerca")</f>
        <v/>
      </c>
      <c r="E155" t="inlineStr"/>
      <c r="F155" t="inlineStr"/>
    </row>
    <row r="156">
      <c r="A156" t="n">
        <v>155</v>
      </c>
      <c r="B156" t="inlineStr">
        <is>
          <t>Pérez Ciro</t>
        </is>
      </c>
      <c r="C156" t="inlineStr">
        <is>
          <t>ciro-perez</t>
        </is>
      </c>
      <c r="D156">
        <f>HYPERLINK("https://www.procyclingstats.com/search.php?term=Pérez+Ciro","Cerca")</f>
        <v/>
      </c>
      <c r="E156" t="inlineStr"/>
      <c r="F156" t="inlineStr"/>
    </row>
    <row r="157">
      <c r="A157" t="n">
        <v>156</v>
      </c>
      <c r="B157" t="inlineStr">
        <is>
          <t>Płosaj Nikol</t>
        </is>
      </c>
      <c r="C157" t="inlineStr">
        <is>
          <t>nikol-p-osaj</t>
        </is>
      </c>
      <c r="D157">
        <f>HYPERLINK("https://www.procyclingstats.com/search.php?term=Płosaj+Nikol","Cerca")</f>
        <v/>
      </c>
      <c r="E157" t="inlineStr"/>
      <c r="F157" t="inlineStr"/>
    </row>
    <row r="158">
      <c r="A158" t="n">
        <v>157</v>
      </c>
      <c r="B158" t="inlineStr">
        <is>
          <t>Quilico Gabriele</t>
        </is>
      </c>
      <c r="C158" t="inlineStr">
        <is>
          <t>gabriele-quilico</t>
        </is>
      </c>
      <c r="D158">
        <f>HYPERLINK("https://www.procyclingstats.com/search.php?term=Quilico+Gabriele","Cerca")</f>
        <v/>
      </c>
      <c r="E158" t="inlineStr"/>
      <c r="F158" t="inlineStr"/>
    </row>
    <row r="159">
      <c r="A159" t="n">
        <v>158</v>
      </c>
      <c r="B159" t="inlineStr">
        <is>
          <t>RANDAZZO VITO</t>
        </is>
      </c>
      <c r="C159" t="inlineStr">
        <is>
          <t>vito-randazzo</t>
        </is>
      </c>
      <c r="D159">
        <f>HYPERLINK("https://www.procyclingstats.com/search.php?term=RANDAZZO+VITO","Cerca")</f>
        <v/>
      </c>
      <c r="E159" t="inlineStr"/>
      <c r="F159" t="inlineStr"/>
    </row>
    <row r="160">
      <c r="A160" t="n">
        <v>159</v>
      </c>
      <c r="B160" t="inlineStr">
        <is>
          <t>RANIERI MATTEO</t>
        </is>
      </c>
      <c r="C160" t="inlineStr">
        <is>
          <t>matteo-ranieri</t>
        </is>
      </c>
      <c r="D160">
        <f>HYPERLINK("https://www.procyclingstats.com/search.php?term=RANIERI+MATTEO","Cerca")</f>
        <v/>
      </c>
      <c r="E160" t="inlineStr"/>
      <c r="F160" t="inlineStr"/>
    </row>
    <row r="161">
      <c r="A161" t="n">
        <v>160</v>
      </c>
      <c r="B161" t="inlineStr">
        <is>
          <t>RESTREPO LOAIZA OSCAR IVAN</t>
        </is>
      </c>
      <c r="C161" t="inlineStr">
        <is>
          <t>loaiza-restrepo</t>
        </is>
      </c>
      <c r="D161">
        <f>HYPERLINK("https://www.procyclingstats.com/search.php?term=RESTREPO+LOAIZA+OSCAR+IVAN","Cerca")</f>
        <v/>
      </c>
      <c r="E161" t="inlineStr"/>
      <c r="F161" t="inlineStr"/>
    </row>
    <row r="162">
      <c r="A162" t="n">
        <v>161</v>
      </c>
      <c r="B162" t="inlineStr">
        <is>
          <t>RICCADONA EDOARDO</t>
        </is>
      </c>
      <c r="C162" t="inlineStr">
        <is>
          <t>edoardo-riccadona</t>
        </is>
      </c>
      <c r="D162">
        <f>HYPERLINK("https://www.procyclingstats.com/search.php?term=RICCADONA+EDOARDO","Cerca")</f>
        <v/>
      </c>
      <c r="E162" t="inlineStr"/>
      <c r="F162" t="inlineStr"/>
    </row>
    <row r="163">
      <c r="A163" t="n">
        <v>162</v>
      </c>
      <c r="B163" t="inlineStr">
        <is>
          <t>ROCCELLA MARCO</t>
        </is>
      </c>
      <c r="C163" t="inlineStr">
        <is>
          <t>marco-roccella</t>
        </is>
      </c>
      <c r="D163">
        <f>HYPERLINK("https://www.procyclingstats.com/search.php?term=ROCCELLA+MARCO","Cerca")</f>
        <v/>
      </c>
      <c r="E163" t="inlineStr"/>
      <c r="F163" t="inlineStr"/>
    </row>
    <row r="164">
      <c r="A164" t="n">
        <v>163</v>
      </c>
      <c r="B164" t="inlineStr">
        <is>
          <t>RODRIGUEZ DELGADO JOSE EMILIO</t>
        </is>
      </c>
      <c r="C164" t="inlineStr">
        <is>
          <t>delgado-jose-emilio-rodriguez</t>
        </is>
      </c>
      <c r="D164">
        <f>HYPERLINK("https://www.procyclingstats.com/search.php?term=RODRIGUEZ+DELGADO+JOSE+EMILIO","Cerca")</f>
        <v/>
      </c>
      <c r="E164" t="inlineStr"/>
      <c r="F164" t="inlineStr"/>
    </row>
    <row r="165">
      <c r="A165" t="n">
        <v>164</v>
      </c>
      <c r="B165" t="inlineStr">
        <is>
          <t>ROJAS NARANJO VICENTE RODRIGO ANTONIO</t>
        </is>
      </c>
      <c r="C165" t="inlineStr">
        <is>
          <t>naranjo-vicente-rodrigo-antonio-rojas</t>
        </is>
      </c>
      <c r="D165">
        <f>HYPERLINK("https://www.procyclingstats.com/search.php?term=ROJAS+NARANJO+VICENTE+RODRIGO+ANTONIO","Cerca")</f>
        <v/>
      </c>
      <c r="E165" t="inlineStr"/>
      <c r="F165" t="inlineStr"/>
    </row>
    <row r="166">
      <c r="A166" t="n">
        <v>165</v>
      </c>
      <c r="B166" t="inlineStr">
        <is>
          <t>ROSSI MATTIA</t>
        </is>
      </c>
      <c r="C166" t="inlineStr">
        <is>
          <t>mattia-rossi</t>
        </is>
      </c>
      <c r="D166">
        <f>HYPERLINK("https://www.procyclingstats.com/search.php?term=ROSSI+MATTIA","Cerca")</f>
        <v/>
      </c>
      <c r="E166" t="inlineStr"/>
      <c r="F166" t="inlineStr"/>
    </row>
    <row r="167">
      <c r="A167" t="n">
        <v>166</v>
      </c>
      <c r="B167" t="inlineStr">
        <is>
          <t>Ramírez Mateo</t>
        </is>
      </c>
      <c r="C167" t="inlineStr">
        <is>
          <t>mateo-ramirez</t>
        </is>
      </c>
      <c r="D167">
        <f>HYPERLINK("https://www.procyclingstats.com/search.php?term=Ramírez+Mateo","Cerca")</f>
        <v/>
      </c>
      <c r="E167" t="inlineStr"/>
      <c r="F167" t="inlineStr"/>
    </row>
    <row r="168">
      <c r="A168" t="n">
        <v>167</v>
      </c>
      <c r="B168" t="inlineStr">
        <is>
          <t>Rayfer Ilay</t>
        </is>
      </c>
      <c r="C168" t="inlineStr">
        <is>
          <t>ilay-rayfer</t>
        </is>
      </c>
      <c r="D168">
        <f>HYPERLINK("https://www.procyclingstats.com/search.php?term=Rayfer+Ilay","Cerca")</f>
        <v/>
      </c>
      <c r="E168" t="inlineStr"/>
      <c r="F168" t="inlineStr"/>
    </row>
    <row r="169">
      <c r="A169" t="n">
        <v>168</v>
      </c>
      <c r="B169" t="inlineStr">
        <is>
          <t>Reichmuth Kyra</t>
        </is>
      </c>
      <c r="C169" t="inlineStr">
        <is>
          <t>kyra-reichmuth</t>
        </is>
      </c>
      <c r="D169">
        <f>HYPERLINK("https://www.procyclingstats.com/search.php?term=Reichmuth+Kyra","Cerca")</f>
        <v/>
      </c>
      <c r="E169" t="inlineStr"/>
      <c r="F169" t="inlineStr"/>
    </row>
    <row r="170">
      <c r="A170" t="n">
        <v>169</v>
      </c>
      <c r="B170" t="inlineStr">
        <is>
          <t>Ricci Federico</t>
        </is>
      </c>
      <c r="C170" t="inlineStr">
        <is>
          <t>federico-ricci</t>
        </is>
      </c>
      <c r="D170">
        <f>HYPERLINK("https://www.procyclingstats.com/search.php?term=Ricci+Federico","Cerca")</f>
        <v/>
      </c>
      <c r="E170" t="inlineStr"/>
      <c r="F170" t="inlineStr"/>
    </row>
    <row r="171">
      <c r="A171" t="n">
        <v>170</v>
      </c>
      <c r="B171" t="inlineStr">
        <is>
          <t>Rodriguez Diego</t>
        </is>
      </c>
      <c r="C171" t="inlineStr">
        <is>
          <t>diego-rodriguez</t>
        </is>
      </c>
      <c r="D171">
        <f>HYPERLINK("https://www.procyclingstats.com/search.php?term=Rodriguez+Diego","Cerca")</f>
        <v/>
      </c>
      <c r="E171" t="inlineStr"/>
      <c r="F171" t="inlineStr"/>
    </row>
    <row r="172">
      <c r="A172" t="n">
        <v>171</v>
      </c>
      <c r="B172" t="inlineStr">
        <is>
          <t>Rodríguez Laura</t>
        </is>
      </c>
      <c r="C172" t="inlineStr">
        <is>
          <t>laura-rodriguez</t>
        </is>
      </c>
      <c r="D172">
        <f>HYPERLINK("https://www.procyclingstats.com/search.php?term=Rodríguez+Laura","Cerca")</f>
        <v/>
      </c>
      <c r="E172" t="inlineStr"/>
      <c r="F172" t="inlineStr"/>
    </row>
    <row r="173">
      <c r="A173" t="n">
        <v>172</v>
      </c>
      <c r="B173" t="inlineStr">
        <is>
          <t>Ruffin Riccardo</t>
        </is>
      </c>
      <c r="C173" t="inlineStr">
        <is>
          <t>riccardo-ruffin</t>
        </is>
      </c>
      <c r="D173">
        <f>HYPERLINK("https://www.procyclingstats.com/search.php?term=Ruffin+Riccardo","Cerca")</f>
        <v/>
      </c>
      <c r="E173" t="inlineStr"/>
      <c r="F173" t="inlineStr"/>
    </row>
    <row r="174">
      <c r="A174" t="n">
        <v>173</v>
      </c>
      <c r="B174" t="inlineStr">
        <is>
          <t>SAINT MARTIN PIERRE</t>
        </is>
      </c>
      <c r="C174" t="inlineStr">
        <is>
          <t>martin-pierre-saint</t>
        </is>
      </c>
      <c r="D174">
        <f>HYPERLINK("https://www.procyclingstats.com/search.php?term=SAINT+MARTIN+PIERRE","Cerca")</f>
        <v/>
      </c>
      <c r="E174" t="inlineStr"/>
      <c r="F174" t="inlineStr"/>
    </row>
    <row r="175">
      <c r="A175" t="n">
        <v>174</v>
      </c>
      <c r="B175" t="inlineStr">
        <is>
          <t>SANTAMARIA RICCARDO</t>
        </is>
      </c>
      <c r="C175" t="inlineStr">
        <is>
          <t>riccardo-santamaria</t>
        </is>
      </c>
      <c r="D175">
        <f>HYPERLINK("https://www.procyclingstats.com/search.php?term=SANTAMARIA+RICCARDO","Cerca")</f>
        <v/>
      </c>
      <c r="E175" t="inlineStr"/>
      <c r="F175" t="inlineStr"/>
    </row>
    <row r="176">
      <c r="A176" t="n">
        <v>175</v>
      </c>
      <c r="B176" t="inlineStr">
        <is>
          <t>SANTIAGO GARCIA RICARDO</t>
        </is>
      </c>
      <c r="C176" t="inlineStr">
        <is>
          <t>ricardo-santiago-garcia</t>
        </is>
      </c>
      <c r="D176">
        <f>HYPERLINK("https://www.procyclingstats.com/search.php?term=SANTIAGO+GARCIA+RICARDO","Cerca")</f>
        <v/>
      </c>
      <c r="E176" t="inlineStr"/>
      <c r="F176" t="inlineStr"/>
    </row>
    <row r="177">
      <c r="A177" t="n">
        <v>176</v>
      </c>
      <c r="B177" t="inlineStr">
        <is>
          <t>SAVEKIN ILIA</t>
        </is>
      </c>
      <c r="C177" t="inlineStr">
        <is>
          <t>ilia-savekin</t>
        </is>
      </c>
      <c r="D177">
        <f>HYPERLINK("https://www.procyclingstats.com/search.php?term=SAVEKIN+ILIA","Cerca")</f>
        <v/>
      </c>
      <c r="E177" t="inlineStr"/>
      <c r="F177" t="inlineStr"/>
    </row>
    <row r="178">
      <c r="A178" t="n">
        <v>177</v>
      </c>
      <c r="B178" t="inlineStr">
        <is>
          <t>SCHEMBARI FLAVIO</t>
        </is>
      </c>
      <c r="C178" t="inlineStr">
        <is>
          <t>flavio-schembari</t>
        </is>
      </c>
      <c r="D178">
        <f>HYPERLINK("https://www.procyclingstats.com/search.php?term=SCHEMBARI+FLAVIO","Cerca")</f>
        <v/>
      </c>
      <c r="E178" t="inlineStr"/>
      <c r="F178" t="inlineStr"/>
    </row>
    <row r="179">
      <c r="A179" t="n">
        <v>178</v>
      </c>
      <c r="B179" t="inlineStr">
        <is>
          <t>SCHNYDER NOAH</t>
        </is>
      </c>
      <c r="C179" t="inlineStr">
        <is>
          <t>noah-schnyder</t>
        </is>
      </c>
      <c r="D179">
        <f>HYPERLINK("https://www.procyclingstats.com/search.php?term=SCHNYDER+NOAH","Cerca")</f>
        <v/>
      </c>
      <c r="E179" t="inlineStr"/>
      <c r="F179" t="inlineStr"/>
    </row>
    <row r="180">
      <c r="A180" t="n">
        <v>179</v>
      </c>
      <c r="B180" t="inlineStr">
        <is>
          <t>SCOTT BOURIS AMOS</t>
        </is>
      </c>
      <c r="C180" t="inlineStr">
        <is>
          <t>bouris-amos-scott</t>
        </is>
      </c>
      <c r="D180">
        <f>HYPERLINK("https://www.procyclingstats.com/search.php?term=SCOTT+BOURIS+AMOS","Cerca")</f>
        <v/>
      </c>
      <c r="E180" t="inlineStr"/>
      <c r="F180" t="inlineStr"/>
    </row>
    <row r="181">
      <c r="A181" t="n">
        <v>180</v>
      </c>
      <c r="B181" t="inlineStr">
        <is>
          <t>SECHI MARCO</t>
        </is>
      </c>
      <c r="C181" t="inlineStr">
        <is>
          <t>marco-sechi</t>
        </is>
      </c>
      <c r="D181">
        <f>HYPERLINK("https://www.procyclingstats.com/search.php?term=SECHI+MARCO","Cerca")</f>
        <v/>
      </c>
      <c r="E181" t="inlineStr"/>
      <c r="F181" t="inlineStr"/>
    </row>
    <row r="182">
      <c r="A182" t="n">
        <v>181</v>
      </c>
      <c r="B182" t="inlineStr">
        <is>
          <t>SHANNON HARRISON</t>
        </is>
      </c>
      <c r="C182" t="inlineStr">
        <is>
          <t>harrison-shannon</t>
        </is>
      </c>
      <c r="D182">
        <f>HYPERLINK("https://www.procyclingstats.com/search.php?term=SHANNON+HARRISON","Cerca")</f>
        <v/>
      </c>
      <c r="E182" t="inlineStr"/>
      <c r="F182" t="inlineStr"/>
    </row>
    <row r="183">
      <c r="A183" t="n">
        <v>182</v>
      </c>
      <c r="B183" t="inlineStr">
        <is>
          <t>SOLLA LEONARDO</t>
        </is>
      </c>
      <c r="C183" t="inlineStr">
        <is>
          <t>leonardo-solla</t>
        </is>
      </c>
      <c r="D183">
        <f>HYPERLINK("https://www.procyclingstats.com/search.php?term=SOLLA+LEONARDO","Cerca")</f>
        <v/>
      </c>
      <c r="E183" t="inlineStr"/>
      <c r="F183" t="inlineStr"/>
    </row>
    <row r="184">
      <c r="A184" t="n">
        <v>183</v>
      </c>
      <c r="B184" t="inlineStr">
        <is>
          <t>SOTO CERVANTES ALEJANDRO</t>
        </is>
      </c>
      <c r="C184" t="inlineStr">
        <is>
          <t>cervantes-alejandro-soto</t>
        </is>
      </c>
      <c r="D184">
        <f>HYPERLINK("https://www.procyclingstats.com/search.php?term=SOTO+CERVANTES+ALEJANDRO","Cerca")</f>
        <v/>
      </c>
      <c r="E184" t="inlineStr"/>
      <c r="F184" t="inlineStr"/>
    </row>
    <row r="185">
      <c r="A185" t="n">
        <v>184</v>
      </c>
      <c r="B185" t="inlineStr">
        <is>
          <t>STELLA ANTONIO TANCREDI</t>
        </is>
      </c>
      <c r="C185" t="inlineStr">
        <is>
          <t>antonio-tancredi-stella</t>
        </is>
      </c>
      <c r="D185">
        <f>HYPERLINK("https://www.procyclingstats.com/search.php?term=STELLA+ANTONIO+TANCREDI","Cerca")</f>
        <v/>
      </c>
      <c r="E185" t="inlineStr"/>
      <c r="F185" t="inlineStr"/>
    </row>
    <row r="186">
      <c r="A186" t="n">
        <v>185</v>
      </c>
      <c r="B186" t="inlineStr">
        <is>
          <t>SUPI SEBASTIAN</t>
        </is>
      </c>
      <c r="C186" t="inlineStr">
        <is>
          <t>sebastian-supi</t>
        </is>
      </c>
      <c r="D186">
        <f>HYPERLINK("https://www.procyclingstats.com/search.php?term=SUPI+SEBASTIAN","Cerca")</f>
        <v/>
      </c>
      <c r="E186" t="inlineStr"/>
      <c r="F186" t="inlineStr"/>
    </row>
    <row r="187">
      <c r="A187" t="n">
        <v>186</v>
      </c>
      <c r="B187" t="inlineStr">
        <is>
          <t>Saguatti Fabian</t>
        </is>
      </c>
      <c r="C187" t="inlineStr">
        <is>
          <t>fabian-saguatti</t>
        </is>
      </c>
      <c r="D187">
        <f>HYPERLINK("https://www.procyclingstats.com/search.php?term=Saguatti+Fabian","Cerca")</f>
        <v/>
      </c>
      <c r="E187" t="inlineStr"/>
      <c r="F187" t="inlineStr"/>
    </row>
    <row r="188">
      <c r="A188" t="n">
        <v>187</v>
      </c>
      <c r="B188" t="inlineStr">
        <is>
          <t>Støvern Ida Østbye</t>
        </is>
      </c>
      <c r="C188" t="inlineStr">
        <is>
          <t>ida-stbye-st-vern</t>
        </is>
      </c>
      <c r="D188">
        <f>HYPERLINK("https://www.procyclingstats.com/search.php?term=Støvern+Ida+Østbye","Cerca")</f>
        <v/>
      </c>
      <c r="E188" t="inlineStr"/>
      <c r="F188" t="inlineStr"/>
    </row>
    <row r="189">
      <c r="A189" t="n">
        <v>188</v>
      </c>
      <c r="B189" t="inlineStr">
        <is>
          <t>Słomka Kinga</t>
        </is>
      </c>
      <c r="C189" t="inlineStr">
        <is>
          <t>kinga-s-omka</t>
        </is>
      </c>
      <c r="D189">
        <f>HYPERLINK("https://www.procyclingstats.com/search.php?term=Słomka+Kinga","Cerca")</f>
        <v/>
      </c>
      <c r="E189" t="inlineStr"/>
      <c r="F189" t="inlineStr"/>
    </row>
    <row r="190">
      <c r="A190" t="n">
        <v>189</v>
      </c>
      <c r="B190" t="inlineStr">
        <is>
          <t>TERCERO LOPEZ FERNANDO</t>
        </is>
      </c>
      <c r="C190" t="inlineStr">
        <is>
          <t>lopez-fernando-tercero</t>
        </is>
      </c>
      <c r="D190">
        <f>HYPERLINK("https://www.procyclingstats.com/search.php?term=TERCERO+LOPEZ+FERNANDO","Cerca")</f>
        <v/>
      </c>
      <c r="E190" t="inlineStr"/>
      <c r="F190" t="inlineStr"/>
    </row>
    <row r="191">
      <c r="A191" t="n">
        <v>190</v>
      </c>
      <c r="B191" t="inlineStr">
        <is>
          <t>Tercero Fernando</t>
        </is>
      </c>
      <c r="C191" t="inlineStr">
        <is>
          <t>fernando-tercero</t>
        </is>
      </c>
      <c r="D191">
        <f>HYPERLINK("https://www.procyclingstats.com/search.php?term=Tercero+Fernando","Cerca")</f>
        <v/>
      </c>
      <c r="E191" t="inlineStr"/>
      <c r="F191" t="inlineStr"/>
    </row>
    <row r="192">
      <c r="A192" t="n">
        <v>191</v>
      </c>
      <c r="B192" t="inlineStr">
        <is>
          <t>Tobul Yair</t>
        </is>
      </c>
      <c r="C192" t="inlineStr">
        <is>
          <t>yair-tobul</t>
        </is>
      </c>
      <c r="D192">
        <f>HYPERLINK("https://www.procyclingstats.com/search.php?term=Tobul+Yair","Cerca")</f>
        <v/>
      </c>
      <c r="E192" t="inlineStr"/>
      <c r="F192" t="inlineStr"/>
    </row>
    <row r="193">
      <c r="A193" t="n">
        <v>192</v>
      </c>
      <c r="B193" t="inlineStr">
        <is>
          <t>Trisconi Elia</t>
        </is>
      </c>
      <c r="C193" t="inlineStr">
        <is>
          <t>elia-trisconi</t>
        </is>
      </c>
      <c r="D193">
        <f>HYPERLINK("https://www.procyclingstats.com/search.php?term=Trisconi+Elia","Cerca")</f>
        <v/>
      </c>
      <c r="E193" t="inlineStr"/>
      <c r="F193" t="inlineStr"/>
    </row>
    <row r="194">
      <c r="A194" t="n">
        <v>193</v>
      </c>
      <c r="B194" t="inlineStr">
        <is>
          <t>Utengen Sandstad Halvor</t>
        </is>
      </c>
      <c r="C194" t="inlineStr">
        <is>
          <t>sandstad-halvor-utengen</t>
        </is>
      </c>
      <c r="D194">
        <f>HYPERLINK("https://www.procyclingstats.com/search.php?term=Utengen+Sandstad+Halvor","Cerca")</f>
        <v/>
      </c>
      <c r="E194" t="inlineStr"/>
      <c r="F194" t="inlineStr"/>
    </row>
    <row r="195">
      <c r="A195" t="n">
        <v>194</v>
      </c>
      <c r="B195" t="inlineStr">
        <is>
          <t>VAL'O ROMAN</t>
        </is>
      </c>
      <c r="C195" t="inlineStr">
        <is>
          <t>roman-val-o</t>
        </is>
      </c>
      <c r="D195">
        <f>HYPERLINK("https://www.procyclingstats.com/search.php?term=VAL'O+ROMAN","Cerca")</f>
        <v/>
      </c>
      <c r="E195" t="inlineStr"/>
      <c r="F195" t="inlineStr"/>
    </row>
    <row r="196">
      <c r="A196" t="n">
        <v>195</v>
      </c>
      <c r="B196" t="inlineStr">
        <is>
          <t>VAN ANROOIJ SHIRIN</t>
        </is>
      </c>
      <c r="C196" t="inlineStr">
        <is>
          <t>anrooij-van</t>
        </is>
      </c>
      <c r="D196">
        <f>HYPERLINK("https://www.procyclingstats.com/search.php?term=VAN+ANROOIJ+SHIRIN","Cerca")</f>
        <v/>
      </c>
      <c r="E196" t="inlineStr"/>
      <c r="F196" t="inlineStr"/>
    </row>
    <row r="197">
      <c r="A197" t="n">
        <v>196</v>
      </c>
      <c r="B197" t="inlineStr">
        <is>
          <t>VAN DEN BIGGELAAR</t>
        </is>
      </c>
      <c r="C197" t="inlineStr">
        <is>
          <t>biggelaar-van-den</t>
        </is>
      </c>
      <c r="D197">
        <f>HYPERLINK("https://www.procyclingstats.com/search.php?term=VAN+DEN+BIGGELAAR","Cerca")</f>
        <v/>
      </c>
      <c r="E197" t="inlineStr"/>
      <c r="F197" t="inlineStr"/>
    </row>
    <row r="198">
      <c r="A198" t="n">
        <v>197</v>
      </c>
      <c r="B198" t="inlineStr">
        <is>
          <t>VERONI RICCARDO</t>
        </is>
      </c>
      <c r="C198" t="inlineStr">
        <is>
          <t>riccardo-veroni</t>
        </is>
      </c>
      <c r="D198">
        <f>HYPERLINK("https://www.procyclingstats.com/search.php?term=VERONI+RICCARDO","Cerca")</f>
        <v/>
      </c>
      <c r="E198" t="inlineStr"/>
      <c r="F198" t="inlineStr"/>
    </row>
    <row r="199">
      <c r="A199" t="n">
        <v>198</v>
      </c>
      <c r="B199" t="inlineStr">
        <is>
          <t>VESHNIAKOV DANIIL</t>
        </is>
      </c>
      <c r="C199" t="inlineStr">
        <is>
          <t>daniil-veshniakov</t>
        </is>
      </c>
      <c r="D199">
        <f>HYPERLINK("https://www.procyclingstats.com/search.php?term=VESHNIAKOV+DANIIL","Cerca")</f>
        <v/>
      </c>
      <c r="E199" t="inlineStr"/>
      <c r="F199" t="inlineStr"/>
    </row>
    <row r="200">
      <c r="A200" t="n">
        <v>199</v>
      </c>
      <c r="B200" t="inlineStr">
        <is>
          <t>VILLA MATTEO</t>
        </is>
      </c>
      <c r="C200" t="inlineStr">
        <is>
          <t>matteo-villa</t>
        </is>
      </c>
      <c r="D200">
        <f>HYPERLINK("https://www.procyclingstats.com/search.php?term=VILLA+MATTEO","Cerca")</f>
        <v/>
      </c>
      <c r="E200" t="inlineStr"/>
      <c r="F200" t="inlineStr"/>
    </row>
    <row r="201">
      <c r="A201" t="n">
        <v>200</v>
      </c>
      <c r="B201" t="inlineStr">
        <is>
          <t>Van De Velde Julie</t>
        </is>
      </c>
      <c r="C201" t="inlineStr">
        <is>
          <t>de-velde-julie-van</t>
        </is>
      </c>
      <c r="D201">
        <f>HYPERLINK("https://www.procyclingstats.com/search.php?term=Van+De+Velde+Julie","Cerca")</f>
        <v/>
      </c>
      <c r="E201" t="inlineStr"/>
      <c r="F201" t="inlineStr"/>
    </row>
    <row r="202">
      <c r="A202" t="n">
        <v>201</v>
      </c>
      <c r="B202" t="inlineStr">
        <is>
          <t>WIGGINS MICHEAL BEN</t>
        </is>
      </c>
      <c r="C202" t="inlineStr">
        <is>
          <t>micheal-ben-wiggins</t>
        </is>
      </c>
      <c r="D202">
        <f>HYPERLINK("https://www.procyclingstats.com/search.php?term=WIGGINS+MICHEAL+BEN","Cerca")</f>
        <v/>
      </c>
      <c r="E202" t="inlineStr"/>
      <c r="F202" t="inlineStr"/>
    </row>
    <row r="203">
      <c r="A203" t="n">
        <v>202</v>
      </c>
      <c r="B203" t="inlineStr">
        <is>
          <t>WROLICH SANTIAGO</t>
        </is>
      </c>
      <c r="C203" t="inlineStr">
        <is>
          <t>santiago-wrolich</t>
        </is>
      </c>
      <c r="D203">
        <f>HYPERLINK("https://www.procyclingstats.com/search.php?term=WROLICH+SANTIAGO","Cerca")</f>
        <v/>
      </c>
      <c r="E203" t="inlineStr"/>
      <c r="F203" t="inlineStr"/>
    </row>
    <row r="204">
      <c r="A204" t="n">
        <v>203</v>
      </c>
      <c r="B204" t="inlineStr">
        <is>
          <t>Wiesmayr Niklas</t>
        </is>
      </c>
      <c r="C204" t="inlineStr">
        <is>
          <t>niklas-wiesmayr</t>
        </is>
      </c>
      <c r="D204">
        <f>HYPERLINK("https://www.procyclingstats.com/search.php?term=Wiesmayr+Niklas","Cerca")</f>
        <v/>
      </c>
      <c r="E204" t="inlineStr"/>
      <c r="F204" t="inlineStr"/>
    </row>
    <row r="205">
      <c r="A205" t="n">
        <v>204</v>
      </c>
      <c r="B205" t="inlineStr">
        <is>
          <t>Włodarczyk Dominika</t>
        </is>
      </c>
      <c r="C205" t="inlineStr">
        <is>
          <t>dominika-w-odarczyk</t>
        </is>
      </c>
      <c r="D205">
        <f>HYPERLINK("https://www.procyclingstats.com/search.php?term=Włodarczyk+Dominika","Cerca")</f>
        <v/>
      </c>
      <c r="E205" t="inlineStr"/>
      <c r="F205" t="inlineStr"/>
    </row>
    <row r="206">
      <c r="A206" t="n">
        <v>205</v>
      </c>
      <c r="B206" t="inlineStr">
        <is>
          <t>Włodarski Marcin</t>
        </is>
      </c>
      <c r="C206" t="inlineStr">
        <is>
          <t>marcin-w-odarski</t>
        </is>
      </c>
      <c r="D206">
        <f>HYPERLINK("https://www.procyclingstats.com/search.php?term=Włodarski+Marcin","Cerca")</f>
        <v/>
      </c>
      <c r="E206" t="inlineStr"/>
      <c r="F206" t="inlineStr"/>
    </row>
    <row r="207">
      <c r="A207" t="n">
        <v>206</v>
      </c>
      <c r="B207" t="inlineStr">
        <is>
          <t>ZAMUDIO GARCIA MAYTE</t>
        </is>
      </c>
      <c r="C207" t="inlineStr">
        <is>
          <t>mayte-zamudio-garcia</t>
        </is>
      </c>
      <c r="D207">
        <f>HYPERLINK("https://www.procyclingstats.com/search.php?term=ZAMUDIO+GARCIA+MAYTE","Cerca")</f>
        <v/>
      </c>
      <c r="E207" t="inlineStr"/>
      <c r="F207" t="inlineStr"/>
    </row>
    <row r="208">
      <c r="A208" t="n">
        <v>207</v>
      </c>
      <c r="B208" t="inlineStr">
        <is>
          <t>ZOZULIA ANDRII</t>
        </is>
      </c>
      <c r="C208" t="inlineStr">
        <is>
          <t>andrii-zozulia</t>
        </is>
      </c>
      <c r="D208">
        <f>HYPERLINK("https://www.procyclingstats.com/search.php?term=ZOZULIA+ANDRII","Cerca")</f>
        <v/>
      </c>
      <c r="E208" t="inlineStr"/>
      <c r="F208" t="inlineStr"/>
    </row>
    <row r="209">
      <c r="A209" t="n">
        <v>208</v>
      </c>
      <c r="B209" t="inlineStr">
        <is>
          <t>Zamudio Gianluigi</t>
        </is>
      </c>
      <c r="C209" t="inlineStr">
        <is>
          <t>gianluigi-zamudio</t>
        </is>
      </c>
      <c r="D209">
        <f>HYPERLINK("https://www.procyclingstats.com/search.php?term=Zamudio+Gianluigi","Cerca")</f>
        <v/>
      </c>
      <c r="E209" t="inlineStr"/>
      <c r="F209" t="inlineStr"/>
    </row>
    <row r="210">
      <c r="A210" t="n">
        <v>209</v>
      </c>
      <c r="B210" t="inlineStr">
        <is>
          <t>Zandri Francesco</t>
        </is>
      </c>
      <c r="C210" t="inlineStr">
        <is>
          <t>francesco-zandri</t>
        </is>
      </c>
      <c r="D210">
        <f>HYPERLINK("https://www.procyclingstats.com/search.php?term=Zandri+Francesco","Cerca")</f>
        <v/>
      </c>
      <c r="E210" t="inlineStr"/>
      <c r="F210" t="inlineStr"/>
    </row>
    <row r="211">
      <c r="A211" t="n">
        <v>210</v>
      </c>
      <c r="B211" t="inlineStr">
        <is>
          <t>de Jong Loïs</t>
        </is>
      </c>
      <c r="C211" t="inlineStr">
        <is>
          <t>jong-lois-de</t>
        </is>
      </c>
      <c r="D211">
        <f>HYPERLINK("https://www.procyclingstats.com/search.php?term=de+Jong+Loïs","Cerca")</f>
        <v/>
      </c>
      <c r="E211" t="inlineStr"/>
      <c r="F211" t="inlineStr"/>
    </row>
    <row r="212">
      <c r="A212" t="n">
        <v>211</v>
      </c>
      <c r="B212" t="inlineStr">
        <is>
          <t>de Jong Thalita</t>
        </is>
      </c>
      <c r="C212" t="inlineStr">
        <is>
          <t>jong-thalita-de</t>
        </is>
      </c>
      <c r="D212">
        <f>HYPERLINK("https://www.procyclingstats.com/search.php?term=de+Jong+Thalita","Cerca")</f>
        <v/>
      </c>
      <c r="E212" t="inlineStr"/>
      <c r="F212" t="inlineStr"/>
    </row>
    <row r="213">
      <c r="A213" t="n">
        <v>212</v>
      </c>
      <c r="B213" t="inlineStr">
        <is>
          <t>de Marigny-Lagesse Lucie</t>
        </is>
      </c>
      <c r="C213" t="inlineStr">
        <is>
          <t>marigny-lagesse-lucie-de</t>
        </is>
      </c>
      <c r="D213">
        <f>HYPERLINK("https://www.procyclingstats.com/search.php?term=de+Marigny-Lagesse+Lucie","Cerca")</f>
        <v/>
      </c>
      <c r="E213" t="inlineStr"/>
      <c r="F213" t="inlineStr"/>
    </row>
    <row r="214">
      <c r="A214" t="n">
        <v>213</v>
      </c>
      <c r="B214" t="inlineStr">
        <is>
          <t>de Zoete Mylène</t>
        </is>
      </c>
      <c r="C214" t="inlineStr">
        <is>
          <t>zoete-mylene-de</t>
        </is>
      </c>
      <c r="D214">
        <f>HYPERLINK("https://www.procyclingstats.com/search.php?term=de+Zoete+Mylène","Cerca")</f>
        <v/>
      </c>
      <c r="E214" t="inlineStr"/>
      <c r="F214" t="inlineStr"/>
    </row>
    <row r="215">
      <c r="A215" t="n">
        <v>214</v>
      </c>
      <c r="B215" t="inlineStr">
        <is>
          <t>van 't Geloof Marjolein</t>
        </is>
      </c>
      <c r="C215" t="inlineStr">
        <is>
          <t>t-geloof-marjolein-van</t>
        </is>
      </c>
      <c r="D215">
        <f>HYPERLINK("https://www.procyclingstats.com/search.php?term=van+'t+Geloof+Marjolein","Cerca")</f>
        <v/>
      </c>
      <c r="E215" t="inlineStr"/>
      <c r="F215" t="inlineStr"/>
    </row>
    <row r="216">
      <c r="A216" t="n">
        <v>215</v>
      </c>
      <c r="B216" t="inlineStr">
        <is>
          <t>van Agt Eva</t>
        </is>
      </c>
      <c r="C216" t="inlineStr">
        <is>
          <t>agt-eva-van</t>
        </is>
      </c>
      <c r="D216">
        <f>HYPERLINK("https://www.procyclingstats.com/search.php?term=van+Agt+Eva","Cerca")</f>
        <v/>
      </c>
      <c r="E216" t="inlineStr"/>
      <c r="F216" t="inlineStr"/>
    </row>
    <row r="217">
      <c r="A217" t="n">
        <v>216</v>
      </c>
      <c r="B217" t="inlineStr">
        <is>
          <t>van Rijswijk Hannah</t>
        </is>
      </c>
      <c r="C217" t="inlineStr">
        <is>
          <t>rijswijk-hannah-van</t>
        </is>
      </c>
      <c r="D217">
        <f>HYPERLINK("https://www.procyclingstats.com/search.php?term=van+Rijswijk+Hannah","Cerca")</f>
        <v/>
      </c>
      <c r="E217" t="inlineStr"/>
      <c r="F217" t="inlineStr"/>
    </row>
    <row r="218">
      <c r="A218" t="n">
        <v>217</v>
      </c>
      <c r="B218" t="inlineStr">
        <is>
          <t>van Rooijen Sofie</t>
        </is>
      </c>
      <c r="C218" t="inlineStr">
        <is>
          <t>rooijen-sofie-van</t>
        </is>
      </c>
      <c r="D218">
        <f>HYPERLINK("https://www.procyclingstats.com/search.php?term=van+Rooijen+Sofie","Cerca")</f>
        <v/>
      </c>
      <c r="E218" t="inlineStr"/>
      <c r="F218" t="inlineStr"/>
    </row>
    <row r="219">
      <c r="A219" t="n">
        <v>218</v>
      </c>
      <c r="B219" t="inlineStr">
        <is>
          <t>van der Duin Maike</t>
        </is>
      </c>
      <c r="C219" t="inlineStr">
        <is>
          <t>der-duin-maike-van</t>
        </is>
      </c>
      <c r="D219">
        <f>HYPERLINK("https://www.procyclingstats.com/search.php?term=van+der+Duin+Maike","Cerca")</f>
        <v/>
      </c>
      <c r="E219" t="inlineStr"/>
      <c r="F219" t="inlineStr"/>
    </row>
    <row r="220">
      <c r="A220" t="n">
        <v>219</v>
      </c>
      <c r="B220" t="inlineStr">
        <is>
          <t>von Berswordt Sophie</t>
        </is>
      </c>
      <c r="C220" t="inlineStr">
        <is>
          <t>berswordt-sophie-von</t>
        </is>
      </c>
      <c r="D220">
        <f>HYPERLINK("https://www.procyclingstats.com/search.php?term=von+Berswordt+Sophie","Cerca")</f>
        <v/>
      </c>
      <c r="E220" t="inlineStr"/>
      <c r="F220" t="inlineStr"/>
    </row>
    <row r="221">
      <c r="A221" t="n">
        <v>220</v>
      </c>
      <c r="B221" t="inlineStr">
        <is>
          <t>Østdal Linus</t>
        </is>
      </c>
      <c r="C221" t="inlineStr">
        <is>
          <t>linus-stdal</t>
        </is>
      </c>
      <c r="D221">
        <f>HYPERLINK("https://www.procyclingstats.com/search.php?term=Østdal+Linus","Cerca")</f>
        <v/>
      </c>
      <c r="E221" t="inlineStr"/>
      <c r="F221" t="inlineStr"/>
    </row>
    <row r="222">
      <c r="A222" t="n">
        <v>221</v>
      </c>
      <c r="B222" t="inlineStr">
        <is>
          <t>celle gialle (colonne E-F) = da compilare tu — incolla il link del profilo PCS trovato e, se vuoi, una nota</t>
        </is>
      </c>
      <c r="D222">
        <f>HYPERLINK("https://www.procyclingstats.com/search.php?term=celle+gialle+(colonne+E-F)+=+da+compilare+tu+—+incolla+il+link+del+profilo+PCS+trovato+e,+se+vuoi,+una+nota","Cerca")</f>
        <v/>
      </c>
      <c r="E222" t="inlineStr"/>
      <c r="F222" t="inlineStr"/>
    </row>
    <row r="223">
      <c r="A223" t="n">
        <v>222</v>
      </c>
      <c r="B223" t="inlineStr">
        <is>
          <t>lista corretta rispetto al giro grezzo: esclusi gli atleti che in realta' hanno gia' un profilo PCS funzionante (falsi negativi da intoppi di rete durante lo scraping)</t>
        </is>
      </c>
      <c r="D223">
        <f>HYPERLINK("https://www.procyclingstats.com/search.php?term=lista+corretta+rispetto+al+giro+grezzo:+esclusi+gli+atleti+che+in+realta'+hanno+gia'+un+profilo+PCS+funzionante+(falsi+negativi+da+intoppi+di+rete+durante+lo+scraping)","Cerca")</f>
        <v/>
      </c>
      <c r="E223" t="inlineStr"/>
      <c r="F223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2" t="inlineStr">
        <is>
          <t>Questi 15 nomi erano nel file di ieri ma il roster-import di oggi li ha già trovati — non serve più cercarli a mano.</t>
        </is>
      </c>
    </row>
    <row r="2">
      <c r="A2" s="1" t="inlineStr">
        <is>
          <t>Nome</t>
        </is>
      </c>
    </row>
    <row r="3">
      <c r="A3" t="inlineStr">
        <is>
          <t>BLASI CAIROL PAULA</t>
        </is>
      </c>
    </row>
    <row r="4">
      <c r="A4" t="inlineStr">
        <is>
          <t>COLES-LYSTER MAGGIE</t>
        </is>
      </c>
    </row>
    <row r="5">
      <c r="A5" t="inlineStr">
        <is>
          <t>COSTA-STARICCO GIULIA</t>
        </is>
      </c>
    </row>
    <row r="6">
      <c r="A6" t="inlineStr">
        <is>
          <t>DE CASSAN DAVIDE</t>
        </is>
      </c>
    </row>
    <row r="7">
      <c r="A7" t="inlineStr">
        <is>
          <t>DE GENDT LEANDER</t>
        </is>
      </c>
    </row>
    <row r="8">
      <c r="A8" t="inlineStr">
        <is>
          <t>DE LAURENTIIS GIUSEPPE</t>
        </is>
      </c>
    </row>
    <row r="9">
      <c r="A9" t="inlineStr">
        <is>
          <t>DE LONGHI LORENZO</t>
        </is>
      </c>
    </row>
    <row r="10">
      <c r="A10" t="inlineStr">
        <is>
          <t>DE TOTTO ANDREA</t>
        </is>
      </c>
    </row>
    <row r="11">
      <c r="A11" t="inlineStr">
        <is>
          <t>DE VRIES FEMKE</t>
        </is>
      </c>
    </row>
    <row r="12">
      <c r="A12" t="inlineStr">
        <is>
          <t>FARSETTI BRANDO</t>
        </is>
      </c>
    </row>
    <row r="13">
      <c r="A13" t="inlineStr">
        <is>
          <t>LE PANN SOEN</t>
        </is>
      </c>
    </row>
    <row r="14">
      <c r="A14" t="inlineStr">
        <is>
          <t>MAGLI FILIPPO</t>
        </is>
      </c>
    </row>
    <row r="15">
      <c r="A15" t="inlineStr">
        <is>
          <t>NIEWIADOMA KASIA</t>
        </is>
      </c>
    </row>
    <row r="16">
      <c r="A16" t="inlineStr">
        <is>
          <t>PEZZO ROSOLA KEVIN</t>
        </is>
      </c>
    </row>
    <row r="17">
      <c r="A17" t="inlineStr">
        <is>
          <t>SHTIN VALERII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42" customWidth="1" min="2" max="2"/>
    <col width="30" customWidth="1" min="3" max="3"/>
    <col width="20" customWidth="1" min="4" max="4"/>
  </cols>
  <sheetData>
    <row r="1">
      <c r="A1" s="1" t="inlineStr">
        <is>
          <t>#</t>
        </is>
      </c>
      <c r="B1" s="1" t="inlineStr">
        <is>
          <t>Nome team (FCI)</t>
        </is>
      </c>
      <c r="C1" s="1" t="inlineStr">
        <is>
          <t>Slug PCS trovato a mano</t>
        </is>
      </c>
      <c r="D1" s="1" t="inlineStr">
        <is>
          <t>Note</t>
        </is>
      </c>
    </row>
    <row r="2">
      <c r="A2" t="n">
        <v>1</v>
      </c>
      <c r="B2" t="inlineStr">
        <is>
          <t>BUSTESE OLONIA A.S.D.</t>
        </is>
      </c>
      <c r="C2" t="inlineStr"/>
      <c r="D2">
        <f>HYPERLINK("https://www.procyclingstats.com/search.php?term=BUSTESE+OLONIA+A.S.D.","Cerca su PCS")</f>
        <v/>
      </c>
    </row>
    <row r="3">
      <c r="A3" t="n">
        <v>2</v>
      </c>
      <c r="B3" t="inlineStr">
        <is>
          <t>S.C. ROMANESE ASD</t>
        </is>
      </c>
      <c r="C3" t="inlineStr"/>
      <c r="D3">
        <f>HYPERLINK("https://www.procyclingstats.com/search.php?term=S.C.+ROMANESE+ASD","Cerca su PCS")</f>
        <v/>
      </c>
    </row>
    <row r="4">
      <c r="A4" t="n">
        <v>3</v>
      </c>
      <c r="B4" t="inlineStr">
        <is>
          <t>TEAM ECOTEK ZERO24</t>
        </is>
      </c>
      <c r="C4" t="inlineStr"/>
      <c r="D4">
        <f>HYPERLINK("https://www.procyclingstats.com/search.php?term=TEAM+ECOTEK+ZERO24","Cerca su PCS")</f>
        <v/>
      </c>
    </row>
    <row r="5">
      <c r="A5" t="n">
        <v>4</v>
      </c>
      <c r="B5" t="inlineStr">
        <is>
          <t>G.S.GIOVANI GIUSSANESI A.S.D.</t>
        </is>
      </c>
      <c r="C5" t="inlineStr"/>
      <c r="D5">
        <f>HYPERLINK("https://www.procyclingstats.com/search.php?term=G.S.GIOVANI+GIUSSANESI+A.S.D.","Cerca su PCS")</f>
        <v/>
      </c>
    </row>
    <row r="6">
      <c r="A6" t="n">
        <v>5</v>
      </c>
      <c r="B6" t="inlineStr">
        <is>
          <t>U.S. MONTECORONA</t>
        </is>
      </c>
      <c r="C6" t="inlineStr"/>
      <c r="D6">
        <f>HYPERLINK("https://www.procyclingstats.com/search.php?term=U.S.+MONTECORONA","Cerca su PCS")</f>
        <v/>
      </c>
    </row>
    <row r="7">
      <c r="A7" t="n">
        <v>6</v>
      </c>
      <c r="B7" t="inlineStr">
        <is>
          <t>V.C.MENDRISIO</t>
        </is>
      </c>
      <c r="C7" t="inlineStr"/>
      <c r="D7">
        <f>HYPERLINK("https://www.procyclingstats.com/search.php?term=V.C.MENDRISIO","Cerca su PCS")</f>
        <v/>
      </c>
    </row>
    <row r="8">
      <c r="A8" t="n">
        <v>7</v>
      </c>
      <c r="B8" t="inlineStr">
        <is>
          <t>BELTRAMI TSA-LA RISORSA UMANA-VC RE</t>
        </is>
      </c>
      <c r="C8" t="inlineStr"/>
      <c r="D8">
        <f>HYPERLINK("https://www.procyclingstats.com/search.php?term=BELTRAMI+TSA-LA+RISORSA+UMANA-VC+RE","Cerca su PCS")</f>
        <v/>
      </c>
    </row>
    <row r="9">
      <c r="A9" t="n">
        <v>8</v>
      </c>
      <c r="B9" t="inlineStr">
        <is>
          <t>ACCADEMIA CICLISTICA</t>
        </is>
      </c>
      <c r="C9" t="inlineStr"/>
      <c r="D9">
        <f>HYPERLINK("https://www.procyclingstats.com/search.php?term=ACCADEMIA+CICLISTICA","Cerca su PCS")</f>
        <v/>
      </c>
    </row>
    <row r="10">
      <c r="A10" t="n">
        <v>9</v>
      </c>
      <c r="B10" t="inlineStr">
        <is>
          <t>TEAM TIEPOLO U19 DEVO</t>
        </is>
      </c>
      <c r="C10" t="inlineStr"/>
      <c r="D10">
        <f>HYPERLINK("https://www.procyclingstats.com/search.php?term=TEAM+TIEPOLO+U19+DEVO","Cerca su PCS")</f>
        <v/>
      </c>
    </row>
    <row r="11">
      <c r="A11" t="n">
        <v>10</v>
      </c>
      <c r="B11" t="inlineStr">
        <is>
          <t>CAMPANA IMBALLAGGI MORBIATO TRENTINO</t>
        </is>
      </c>
      <c r="C11" t="inlineStr"/>
      <c r="D11">
        <f>HYPERLINK("https://www.procyclingstats.com/search.php?term=CAMPANA+IMBALLAGGI+MORBIATO+TRENTINO","Cerca su PCS")</f>
        <v/>
      </c>
    </row>
    <row r="12">
      <c r="A12" t="n">
        <v>11</v>
      </c>
      <c r="B12" t="inlineStr">
        <is>
          <t>FAIZANE' CSZ SANDRIGO BIKE</t>
        </is>
      </c>
      <c r="C12" t="inlineStr"/>
      <c r="D12">
        <f>HYPERLINK("https://www.procyclingstats.com/search.php?term=FAIZANE'+CSZ+SANDRIGO+BIKE","Cerca su PCS")</f>
        <v/>
      </c>
    </row>
    <row r="13">
      <c r="A13" t="n">
        <v>12</v>
      </c>
      <c r="B13" t="inlineStr">
        <is>
          <t>A.S.D. POSTUMIA 73 D.L. CICLISMO</t>
        </is>
      </c>
      <c r="C13" t="inlineStr"/>
      <c r="D13">
        <f>HYPERLINK("https://www.procyclingstats.com/search.php?term=A.S.D.+POSTUMIA+73+D.L.+CICLISMO","Cerca su PCS")</f>
        <v/>
      </c>
    </row>
    <row r="14">
      <c r="A14" t="n">
        <v>13</v>
      </c>
      <c r="B14" t="inlineStr">
        <is>
          <t>A.S.D. CICLISTICA MONSELICE</t>
        </is>
      </c>
      <c r="C14" t="inlineStr"/>
      <c r="D14">
        <f>HYPERLINK("https://www.procyclingstats.com/search.php?term=A.S.D.+CICLISTICA+MONSELICE","Cerca su PCS")</f>
        <v/>
      </c>
    </row>
    <row r="15">
      <c r="A15" t="n">
        <v>14</v>
      </c>
      <c r="B15" t="inlineStr">
        <is>
          <t>VELEKA TEAM</t>
        </is>
      </c>
      <c r="C15" t="inlineStr"/>
      <c r="D15">
        <f>HYPERLINK("https://www.procyclingstats.com/search.php?term=VELEKA+TEAM","Cerca su PCS")</f>
        <v/>
      </c>
    </row>
    <row r="16">
      <c r="A16" t="n">
        <v>15</v>
      </c>
      <c r="B16" t="inlineStr">
        <is>
          <t>LMC BOGOTA'</t>
        </is>
      </c>
      <c r="C16" t="inlineStr"/>
      <c r="D16">
        <f>HYPERLINK("https://www.procyclingstats.com/search.php?term=LMC+BOGOTA'","Cerca su PCS")</f>
        <v/>
      </c>
    </row>
    <row r="17">
      <c r="A17" t="n">
        <v>16</v>
      </c>
      <c r="B17" t="inlineStr">
        <is>
          <t>A.R.MONEX PRO CYCLING TEAM</t>
        </is>
      </c>
      <c r="C17" t="inlineStr"/>
      <c r="D17">
        <f>HYPERLINK("https://www.procyclingstats.com/search.php?term=A.R.MONEX+PRO+CYCLING+TEAM","Cerca su PCS")</f>
        <v/>
      </c>
    </row>
    <row r="18">
      <c r="A18" t="n">
        <v>17</v>
      </c>
      <c r="B18" t="inlineStr">
        <is>
          <t>TEAM WILIER BREGANZE</t>
        </is>
      </c>
      <c r="C18" t="inlineStr"/>
      <c r="D18">
        <f>HYPERLINK("https://www.procyclingstats.com/search.php?term=TEAM+WILIER+BREGANZE","Cerca su PCS")</f>
        <v/>
      </c>
    </row>
    <row r="19">
      <c r="A19" t="n">
        <v>18</v>
      </c>
      <c r="B19" t="inlineStr">
        <is>
          <t>CANTURINO 1902 A.S.D.</t>
        </is>
      </c>
      <c r="C19" t="inlineStr"/>
      <c r="D19">
        <f>HYPERLINK("https://www.procyclingstats.com/search.php?term=CANTURINO+1902+A.S.D.","Cerca su PCS")</f>
        <v/>
      </c>
    </row>
    <row r="20">
      <c r="A20" t="n">
        <v>19</v>
      </c>
      <c r="B20" t="inlineStr">
        <is>
          <t>U.C.CONSCIO PEDALE DEL SILE</t>
        </is>
      </c>
      <c r="C20" t="inlineStr"/>
      <c r="D20">
        <f>HYPERLINK("https://www.procyclingstats.com/search.php?term=U.C.CONSCIO+PEDALE+DEL+SILE","Cerca su PCS")</f>
        <v/>
      </c>
    </row>
    <row r="21">
      <c r="A21" t="n">
        <v>20</v>
      </c>
      <c r="B21" t="inlineStr">
        <is>
          <t>ASD GS SORGENTE PRADIPOZZO</t>
        </is>
      </c>
      <c r="C21" t="inlineStr"/>
      <c r="D21">
        <f>HYPERLINK("https://www.procyclingstats.com/search.php?term=ASD+GS+SORGENTE+PRADIPOZZO","Cerca su PCS")</f>
        <v/>
      </c>
    </row>
    <row r="22">
      <c r="A22" t="n">
        <v>21</v>
      </c>
      <c r="B22" t="inlineStr">
        <is>
          <t>U.C. GIORGIONE</t>
        </is>
      </c>
      <c r="C22" t="inlineStr"/>
      <c r="D22">
        <f>HYPERLINK("https://www.procyclingstats.com/search.php?term=U.C.+GIORGIONE","Cerca su PCS")</f>
        <v/>
      </c>
    </row>
    <row r="23">
      <c r="A23" t="n">
        <v>22</v>
      </c>
      <c r="B23" t="inlineStr">
        <is>
          <t>COMAL TRENTINO CYCLING ACADEMY</t>
        </is>
      </c>
      <c r="C23" t="inlineStr"/>
      <c r="D23">
        <f>HYPERLINK("https://www.procyclingstats.com/search.php?term=COMAL+TRENTINO+CYCLING+ACADEMY","Cerca su PCS")</f>
        <v/>
      </c>
    </row>
    <row r="24">
      <c r="A24" t="n">
        <v>23</v>
      </c>
      <c r="B24" t="inlineStr">
        <is>
          <t>U.S.SCUOLA CICLISMO VO'</t>
        </is>
      </c>
      <c r="C24" t="inlineStr"/>
      <c r="D24">
        <f>HYPERLINK("https://www.procyclingstats.com/search.php?term=U.S.SCUOLA+CICLISMO+VO'","Cerca su PCS")</f>
        <v/>
      </c>
    </row>
    <row r="25">
      <c r="A25" t="n">
        <v>24</v>
      </c>
      <c r="B25" t="inlineStr">
        <is>
          <t>TEAM FABIANA LUPERINI ASD</t>
        </is>
      </c>
      <c r="C25" t="inlineStr"/>
      <c r="D25">
        <f>HYPERLINK("https://www.procyclingstats.com/search.php?term=TEAM+FABIANA+LUPERINI+ASD","Cerca su PCS")</f>
        <v/>
      </c>
    </row>
    <row r="26">
      <c r="A26" t="n">
        <v>25</v>
      </c>
      <c r="B26" t="inlineStr">
        <is>
          <t>G.C. NOVENTANA</t>
        </is>
      </c>
      <c r="C26" t="inlineStr"/>
      <c r="D26">
        <f>HYPERLINK("https://www.procyclingstats.com/search.php?term=G.C.+NOVENTANA","Cerca su PCS")</f>
        <v/>
      </c>
    </row>
    <row r="27">
      <c r="A27" t="n">
        <v>26</v>
      </c>
      <c r="B27" t="inlineStr">
        <is>
          <t>SPORT CLUB BRESCIA - FLANDRES LOVE</t>
        </is>
      </c>
      <c r="C27" t="inlineStr"/>
      <c r="D27">
        <f>HYPERLINK("https://www.procyclingstats.com/search.php?term=SPORT+CLUB+BRESCIA+-+FLANDRES+LOVE","Cerca su PCS")</f>
        <v/>
      </c>
    </row>
    <row r="28">
      <c r="A28" t="n">
        <v>27</v>
      </c>
      <c r="B28" t="inlineStr">
        <is>
          <t>VANGI LADIES CYCLING TEAM</t>
        </is>
      </c>
      <c r="C28" t="inlineStr"/>
      <c r="D28">
        <f>HYPERLINK("https://www.procyclingstats.com/search.php?term=VANGI+LADIES+CYCLING+TEAM","Cerca su PCS")</f>
        <v/>
      </c>
    </row>
    <row r="29">
      <c r="A29" t="n">
        <v>28</v>
      </c>
      <c r="B29" t="inlineStr">
        <is>
          <t>POL. FIUMICINESE FA.I.T. ADRIATICA</t>
        </is>
      </c>
      <c r="C29" t="inlineStr"/>
      <c r="D29">
        <f>HYPERLINK("https://www.procyclingstats.com/search.php?term=POL.+FIUMICINESE+FA.I.T.+ADRIATICA","Cerca su PCS")</f>
        <v/>
      </c>
    </row>
    <row r="30">
      <c r="A30" t="n">
        <v>29</v>
      </c>
      <c r="B30" t="inlineStr">
        <is>
          <t>GS CICLI FIORIN ASD</t>
        </is>
      </c>
      <c r="C30" t="inlineStr"/>
      <c r="D30">
        <f>HYPERLINK("https://www.procyclingstats.com/search.php?term=GS+CICLI+FIORIN+ASD","Cerca su PCS")</f>
        <v/>
      </c>
    </row>
    <row r="31">
      <c r="A31" t="n">
        <v>30</v>
      </c>
      <c r="B31" t="inlineStr">
        <is>
          <t>S.C. CESANO MADERNO</t>
        </is>
      </c>
      <c r="C31" t="inlineStr"/>
      <c r="D31">
        <f>HYPERLINK("https://www.procyclingstats.com/search.php?term=S.C.+CESANO+MADERNO","Cerca su PCS")</f>
        <v/>
      </c>
    </row>
    <row r="32">
      <c r="A32" t="n">
        <v>31</v>
      </c>
      <c r="B32" t="inlineStr">
        <is>
          <t>U.S. C.S.I. RUBANO</t>
        </is>
      </c>
      <c r="C32" t="inlineStr"/>
      <c r="D32">
        <f>HYPERLINK("https://www.procyclingstats.com/search.php?term=U.S.+C.S.I.+RUBANO","Cerca su PCS")</f>
        <v/>
      </c>
    </row>
    <row r="33">
      <c r="A33" t="n">
        <v>32</v>
      </c>
      <c r="B33" t="inlineStr">
        <is>
          <t>BICIFESTIVAL</t>
        </is>
      </c>
      <c r="C33" t="inlineStr"/>
      <c r="D33">
        <f>HYPERLINK("https://www.procyclingstats.com/search.php?term=BICIFESTIVAL","Cerca su PCS")</f>
        <v/>
      </c>
    </row>
    <row r="34">
      <c r="A34" t="n">
        <v>33</v>
      </c>
      <c r="B34" t="inlineStr">
        <is>
          <t>ASS.NE CICLISTICA DILETT. VALVASONE</t>
        </is>
      </c>
      <c r="C34" t="inlineStr"/>
      <c r="D34">
        <f>HYPERLINK("https://www.procyclingstats.com/search.php?term=ASS.NE+CICLISTICA+DILETT.+VALVASONE","Cerca su PCS")</f>
        <v/>
      </c>
    </row>
    <row r="35">
      <c r="A35" t="n">
        <v>34</v>
      </c>
      <c r="B35" t="inlineStr">
        <is>
          <t>G.S. MOSOLE</t>
        </is>
      </c>
      <c r="C35" t="inlineStr"/>
      <c r="D35">
        <f>HYPERLINK("https://www.procyclingstats.com/search.php?term=G.S.+MOSOLE","Cerca su PCS")</f>
        <v/>
      </c>
    </row>
    <row r="36">
      <c r="A36" t="n">
        <v>35</v>
      </c>
      <c r="B36" t="inlineStr">
        <is>
          <t>HG CYCLING TEAM</t>
        </is>
      </c>
      <c r="C36" t="inlineStr"/>
      <c r="D36">
        <f>HYPERLINK("https://www.procyclingstats.com/search.php?term=HG+CYCLING+TEAM","Cerca su PCS")</f>
        <v/>
      </c>
    </row>
    <row r="37">
      <c r="A37" t="n">
        <v>36</v>
      </c>
      <c r="B37" t="inlineStr">
        <is>
          <t>OFF.ALBERTI U.C. VAL D'ILLASI</t>
        </is>
      </c>
      <c r="C37" t="inlineStr"/>
      <c r="D37">
        <f>HYPERLINK("https://www.procyclingstats.com/search.php?term=OFF.ALBERTI+U.C.+VAL+D'ILLASI","Cerca su PCS")</f>
        <v/>
      </c>
    </row>
    <row r="38">
      <c r="A38" t="n">
        <v>37</v>
      </c>
      <c r="B38" t="inlineStr">
        <is>
          <t>G.C. SOSSANO 1975</t>
        </is>
      </c>
      <c r="C38" t="inlineStr"/>
      <c r="D38">
        <f>HYPERLINK("https://www.procyclingstats.com/search.php?term=G.C.+SOSSANO+1975","Cerca su PCS")</f>
        <v/>
      </c>
    </row>
    <row r="39">
      <c r="A39" t="n">
        <v>38</v>
      </c>
      <c r="B39" t="inlineStr">
        <is>
          <t>SCUOLA CICLISMO VERSO L'IRIDE</t>
        </is>
      </c>
      <c r="C39" t="inlineStr"/>
      <c r="D39">
        <f>HYPERLINK("https://www.procyclingstats.com/search.php?term=SCUOLA+CICLISMO+VERSO+L'IRIDE","Cerca su PCS")</f>
        <v/>
      </c>
    </row>
    <row r="40">
      <c r="A40" t="n">
        <v>39</v>
      </c>
      <c r="B40" t="inlineStr">
        <is>
          <t>UC DONORATICO</t>
        </is>
      </c>
      <c r="C40" t="inlineStr"/>
      <c r="D40">
        <f>HYPERLINK("https://www.procyclingstats.com/search.php?term=UC+DONORATICO","Cerca su PCS")</f>
        <v/>
      </c>
    </row>
    <row r="41">
      <c r="A41" t="n">
        <v>40</v>
      </c>
      <c r="B41" t="inlineStr">
        <is>
          <t>BUSTO GAROLFO</t>
        </is>
      </c>
      <c r="C41" t="inlineStr"/>
      <c r="D41">
        <f>HYPERLINK("https://www.procyclingstats.com/search.php?term=BUSTO+GAROLFO","Cerca su PCS")</f>
        <v/>
      </c>
    </row>
    <row r="42">
      <c r="A42" t="n">
        <v>41</v>
      </c>
      <c r="B42" t="inlineStr">
        <is>
          <t>MADIGNANESE CICLISMO A.S.D</t>
        </is>
      </c>
      <c r="C42" t="inlineStr"/>
      <c r="D42">
        <f>HYPERLINK("https://www.procyclingstats.com/search.php?term=MADIGNANESE+CICLISMO+A.S.D","Cerca su PCS")</f>
        <v/>
      </c>
    </row>
    <row r="43">
      <c r="A43" t="n">
        <v>42</v>
      </c>
      <c r="B43" t="inlineStr">
        <is>
          <t>GS CAPANNORI</t>
        </is>
      </c>
      <c r="C43" t="inlineStr"/>
      <c r="D43">
        <f>HYPERLINK("https://www.procyclingstats.com/search.php?term=GS+CAPANNORI","Cerca su PCS")</f>
        <v/>
      </c>
    </row>
    <row r="44">
      <c r="A44" t="n">
        <v>43</v>
      </c>
      <c r="B44" t="inlineStr">
        <is>
          <t>CALDERARA STM RIDUTTORI</t>
        </is>
      </c>
      <c r="C44" t="inlineStr"/>
      <c r="D44">
        <f>HYPERLINK("https://www.procyclingstats.com/search.php?term=CALDERARA+STM+RIDUTTORI","Cerca su PCS")</f>
        <v/>
      </c>
    </row>
    <row r="45">
      <c r="A45" t="n">
        <v>44</v>
      </c>
      <c r="B45" t="inlineStr">
        <is>
          <t>ALLGOR TATOBIKE</t>
        </is>
      </c>
      <c r="C45" t="inlineStr"/>
      <c r="D45">
        <f>HYPERLINK("https://www.procyclingstats.com/search.php?term=ALLGOR+TATOBIKE","Cerca su PCS")</f>
        <v/>
      </c>
    </row>
    <row r="46">
      <c r="A46" t="n">
        <v>45</v>
      </c>
      <c r="B46" t="inlineStr">
        <is>
          <t>V.C. SOMMESE</t>
        </is>
      </c>
      <c r="C46" t="inlineStr"/>
      <c r="D46">
        <f>HYPERLINK("https://www.procyclingstats.com/search.php?term=V.C.+SOMMESE","Cerca su PCS")</f>
        <v/>
      </c>
    </row>
    <row r="47">
      <c r="A47" t="n">
        <v>46</v>
      </c>
      <c r="B47" t="inlineStr">
        <is>
          <t>GAZZANIGHESE ASD</t>
        </is>
      </c>
      <c r="C47" t="inlineStr"/>
      <c r="D47">
        <f>HYPERLINK("https://www.procyclingstats.com/search.php?term=GAZZANIGHESE+ASD","Cerca su PCS")</f>
        <v/>
      </c>
    </row>
    <row r="48">
      <c r="A48" t="n">
        <v>47</v>
      </c>
      <c r="B48" t="inlineStr">
        <is>
          <t>A.S.D. SACILESE</t>
        </is>
      </c>
      <c r="C48" t="inlineStr"/>
      <c r="D48">
        <f>HYPERLINK("https://www.procyclingstats.com/search.php?term=A.S.D.+SACILESE","Cerca su PCS")</f>
        <v/>
      </c>
    </row>
    <row r="49">
      <c r="A49" t="n">
        <v>48</v>
      </c>
      <c r="B49" t="inlineStr">
        <is>
          <t>ASD VELOCE CLUB BORGO</t>
        </is>
      </c>
      <c r="C49" t="inlineStr"/>
      <c r="D49">
        <f>HYPERLINK("https://www.procyclingstats.com/search.php?term=ASD+VELOCE+CLUB+BORGO","Cerca su PCS")</f>
        <v/>
      </c>
    </row>
    <row r="50">
      <c r="A50" t="n">
        <v>49</v>
      </c>
      <c r="B50" t="inlineStr">
        <is>
          <t>IND. FORNITURE MORO-C&amp;G CAPITAL</t>
        </is>
      </c>
      <c r="C50" t="inlineStr"/>
      <c r="D50">
        <f>HYPERLINK("https://www.procyclingstats.com/search.php?term=IND.+FORNITURE+MORO-C&amp;G+CAPITAL","Cerca su PCS")</f>
        <v/>
      </c>
    </row>
    <row r="51">
      <c r="A51" t="n">
        <v>50</v>
      </c>
      <c r="B51" t="inlineStr">
        <is>
          <t>V.C. BASSANO 1892</t>
        </is>
      </c>
      <c r="C51" t="inlineStr"/>
      <c r="D51">
        <f>HYPERLINK("https://www.procyclingstats.com/search.php?term=V.C.+BASSANO+1892","Cerca su PCS")</f>
        <v/>
      </c>
    </row>
    <row r="52">
      <c r="A52" t="n">
        <v>51</v>
      </c>
      <c r="B52" t="inlineStr">
        <is>
          <t>C.S. LIBERTAS SCORZE'</t>
        </is>
      </c>
      <c r="C52" t="inlineStr"/>
      <c r="D52">
        <f>HYPERLINK("https://www.procyclingstats.com/search.php?term=C.S.+LIBERTAS+SCORZE'","Cerca su PCS")</f>
        <v/>
      </c>
    </row>
    <row r="53">
      <c r="A53" t="n">
        <v>52</v>
      </c>
      <c r="B53" t="inlineStr">
        <is>
          <t>LIBERTAS RAIFFEISEN LAIVES ASD</t>
        </is>
      </c>
      <c r="C53" t="inlineStr"/>
      <c r="D53">
        <f>HYPERLINK("https://www.procyclingstats.com/search.php?term=LIBERTAS+RAIFFEISEN+LAIVES+ASD","Cerca su PCS")</f>
        <v/>
      </c>
    </row>
    <row r="54">
      <c r="A54" t="n">
        <v>53</v>
      </c>
      <c r="B54" t="inlineStr">
        <is>
          <t>ASD TEAM PETRUCCI</t>
        </is>
      </c>
      <c r="C54" t="inlineStr"/>
      <c r="D54">
        <f>HYPERLINK("https://www.procyclingstats.com/search.php?term=ASD+TEAM+PETRUCCI","Cerca su PCS")</f>
        <v/>
      </c>
    </row>
    <row r="55">
      <c r="A55" t="n">
        <v>54</v>
      </c>
      <c r="B55" t="inlineStr">
        <is>
          <t>C.C. FORTI E VELOCI</t>
        </is>
      </c>
      <c r="C55" t="inlineStr"/>
      <c r="D55">
        <f>HYPERLINK("https://www.procyclingstats.com/search.php?term=C.C.+FORTI+E+VELOCI","Cerca su PCS")</f>
        <v/>
      </c>
    </row>
    <row r="56">
      <c r="A56" t="n">
        <v>55</v>
      </c>
      <c r="B56" t="inlineStr">
        <is>
          <t>TEAM SENAGHESE GUERRINI</t>
        </is>
      </c>
      <c r="C56" t="inlineStr"/>
      <c r="D56">
        <f>HYPERLINK("https://www.procyclingstats.com/search.php?term=TEAM+SENAGHESE+GUERRINI","Cerca su PCS")</f>
        <v/>
      </c>
    </row>
    <row r="57">
      <c r="A57" t="n">
        <v>56</v>
      </c>
      <c r="B57" t="inlineStr">
        <is>
          <t>ACS A PEDAL FORWORD - ROMANIA</t>
        </is>
      </c>
      <c r="C57" t="inlineStr"/>
      <c r="D57">
        <f>HYPERLINK("https://www.procyclingstats.com/search.php?term=ACS+A+PEDAL+FORWORD+-+ROMANIA","Cerca su PCS")</f>
        <v/>
      </c>
    </row>
    <row r="58">
      <c r="A58" t="n">
        <v>57</v>
      </c>
      <c r="B58" t="inlineStr">
        <is>
          <t>MAZZANO A.S.D.</t>
        </is>
      </c>
      <c r="C58" t="inlineStr"/>
      <c r="D58">
        <f>HYPERLINK("https://www.procyclingstats.com/search.php?term=MAZZANO+A.S.D.","Cerca su PCS")</f>
        <v/>
      </c>
    </row>
    <row r="59">
      <c r="A59" t="n">
        <v>58</v>
      </c>
      <c r="B59" t="inlineStr">
        <is>
          <t>ETHICA ZERO24 CYCLING TEAM ECOTEK</t>
        </is>
      </c>
      <c r="C59" t="inlineStr"/>
      <c r="D59">
        <f>HYPERLINK("https://www.procyclingstats.com/search.php?term=ETHICA+ZERO24+CYCLING+TEAM+ECOTEK","Cerca su PCS")</f>
        <v/>
      </c>
    </row>
    <row r="60">
      <c r="A60" t="n">
        <v>59</v>
      </c>
      <c r="B60" t="inlineStr">
        <is>
          <t>S.C.RECANATI MARINELLI CANTARINI</t>
        </is>
      </c>
      <c r="C60" t="inlineStr"/>
      <c r="D60">
        <f>HYPERLINK("https://www.procyclingstats.com/search.php?term=S.C.RECANATI+MARINELLI+CANTARINI","Cerca su PCS")</f>
        <v/>
      </c>
    </row>
    <row r="61">
      <c r="A61" t="n">
        <v>60</v>
      </c>
      <c r="B61" t="inlineStr">
        <is>
          <t>ASD EFFETTO CICLISMO - NOI SPORT</t>
        </is>
      </c>
      <c r="C61" t="inlineStr"/>
      <c r="D61">
        <f>HYPERLINK("https://www.procyclingstats.com/search.php?term=ASD+EFFETTO+CICLISMO+-+NOI+SPORT","Cerca su PCS")</f>
        <v/>
      </c>
    </row>
    <row r="62">
      <c r="A62" t="n">
        <v>61</v>
      </c>
      <c r="B62" t="inlineStr">
        <is>
          <t>CYCLING TEAM NIAL NIZZOLI ALMO</t>
        </is>
      </c>
      <c r="C62" t="inlineStr"/>
      <c r="D62">
        <f>HYPERLINK("https://www.procyclingstats.com/search.php?term=CYCLING+TEAM+NIAL+NIZZOLI+ALMO","Cerca su PCS")</f>
        <v/>
      </c>
    </row>
    <row r="63">
      <c r="A63" t="n">
        <v>62</v>
      </c>
      <c r="B63" t="inlineStr">
        <is>
          <t>ASD CICLOTOUR</t>
        </is>
      </c>
      <c r="C63" t="inlineStr"/>
      <c r="D63">
        <f>HYPERLINK("https://www.procyclingstats.com/search.php?term=ASD+CICLOTOUR","Cerca su PCS")</f>
        <v/>
      </c>
    </row>
    <row r="64">
      <c r="A64" t="n">
        <v>63</v>
      </c>
      <c r="B64" t="inlineStr">
        <is>
          <t>ASD ROBUR BARCELLONA</t>
        </is>
      </c>
      <c r="C64" t="inlineStr"/>
      <c r="D64">
        <f>HYPERLINK("https://www.procyclingstats.com/search.php?term=ASD+ROBUR+BARCELLONA","Cerca su PCS")</f>
        <v/>
      </c>
    </row>
    <row r="65">
      <c r="A65" t="n">
        <v>64</v>
      </c>
      <c r="B65" t="inlineStr">
        <is>
          <t>MADONE-TEAM BIKE SICILIA</t>
        </is>
      </c>
      <c r="C65" t="inlineStr"/>
      <c r="D65">
        <f>HYPERLINK("https://www.procyclingstats.com/search.php?term=MADONE-TEAM+BIKE+SICILIA","Cerca su PCS")</f>
        <v/>
      </c>
    </row>
    <row r="66">
      <c r="A66" t="n">
        <v>65</v>
      </c>
      <c r="B66" t="inlineStr">
        <is>
          <t>S.S.D. PEDALE SANTANTONESE</t>
        </is>
      </c>
      <c r="C66" t="inlineStr"/>
      <c r="D66">
        <f>HYPERLINK("https://www.procyclingstats.com/search.php?term=S.S.D.+PEDALE+SANTANTONESE","Cerca su PCS")</f>
        <v/>
      </c>
    </row>
    <row r="67">
      <c r="A67" t="n">
        <v>66</v>
      </c>
      <c r="B67" t="inlineStr">
        <is>
          <t>MULTICAR GRUPPO AMARU'</t>
        </is>
      </c>
      <c r="C67" t="inlineStr"/>
      <c r="D67">
        <f>HYPERLINK("https://www.procyclingstats.com/search.php?term=MULTICAR+GRUPPO+AMARU'","Cerca su PCS")</f>
        <v/>
      </c>
    </row>
    <row r="68">
      <c r="A68" t="n">
        <v>67</v>
      </c>
      <c r="B68" t="inlineStr">
        <is>
          <t>CAMB!KE</t>
        </is>
      </c>
      <c r="C68" t="inlineStr"/>
      <c r="D68">
        <f>HYPERLINK("https://www.procyclingstats.com/search.php?term=CAMB!KE","Cerca su PCS")</f>
        <v/>
      </c>
    </row>
    <row r="69">
      <c r="A69" t="n">
        <v>68</v>
      </c>
      <c r="B69" t="inlineStr">
        <is>
          <t>TEAM CESARO-NERI-LUCCHINI</t>
        </is>
      </c>
      <c r="C69" t="inlineStr"/>
      <c r="D69">
        <f>HYPERLINK("https://www.procyclingstats.com/search.php?term=TEAM+CESARO-NERI-LUCCHINI","Cerca su PCS")</f>
        <v/>
      </c>
    </row>
    <row r="70">
      <c r="A70" t="n">
        <v>69</v>
      </c>
      <c r="B70" t="inlineStr">
        <is>
          <t>TEAM VALDINIEVOLE A.S.D.</t>
        </is>
      </c>
      <c r="C70" t="inlineStr"/>
      <c r="D70">
        <f>HYPERLINK("https://www.procyclingstats.com/search.php?term=TEAM+VALDINIEVOLE+A.S.D.","Cerca su PCS")</f>
        <v/>
      </c>
    </row>
    <row r="71">
      <c r="A71" t="n">
        <v>70</v>
      </c>
      <c r="B71" t="inlineStr">
        <is>
          <t>SALUS CICLISTICA SEREGNO DE ROSA</t>
        </is>
      </c>
      <c r="C71" t="inlineStr"/>
      <c r="D71">
        <f>HYPERLINK("https://www.procyclingstats.com/search.php?term=SALUS+CICLISTICA+SEREGNO+DE+ROSA","Cerca su PCS")</f>
        <v/>
      </c>
    </row>
    <row r="72">
      <c r="A72" t="n">
        <v>71</v>
      </c>
      <c r="B72" t="inlineStr">
        <is>
          <t>G.S. IPERFINISH STABBIA</t>
        </is>
      </c>
      <c r="C72" t="inlineStr"/>
      <c r="D72">
        <f>HYPERLINK("https://www.procyclingstats.com/search.php?term=G.S.+IPERFINISH+STABBIA","Cerca su PCS")</f>
        <v/>
      </c>
    </row>
    <row r="73">
      <c r="A73" t="n">
        <v>72</v>
      </c>
      <c r="B73" t="inlineStr">
        <is>
          <t>AC F. BESSI CALENZANO DONORATICO</t>
        </is>
      </c>
      <c r="C73" t="inlineStr"/>
      <c r="D73">
        <f>HYPERLINK("https://www.procyclingstats.com/search.php?term=AC+F.+BESSI+CALENZANO+DONORATICO","Cerca su PCS")</f>
        <v/>
      </c>
    </row>
    <row r="74">
      <c r="A74" t="n">
        <v>73</v>
      </c>
      <c r="B74" t="inlineStr">
        <is>
          <t>TEAM PIU'SPORT</t>
        </is>
      </c>
      <c r="C74" t="inlineStr"/>
      <c r="D74">
        <f>HYPERLINK("https://www.procyclingstats.com/search.php?term=TEAM+PIU'SPORT","Cerca su PCS")</f>
        <v/>
      </c>
    </row>
    <row r="75">
      <c r="A75" t="n">
        <v>74</v>
      </c>
      <c r="B75" t="inlineStr">
        <is>
          <t>PIESSE CYCLING TEAM</t>
        </is>
      </c>
      <c r="C75" t="inlineStr"/>
      <c r="D75">
        <f>HYPERLINK("https://www.procyclingstats.com/search.php?term=PIESSE+CYCLING+TEAM","Cerca su PCS")</f>
        <v/>
      </c>
    </row>
    <row r="76">
      <c r="A76" t="n">
        <v>75</v>
      </c>
      <c r="B76" t="inlineStr">
        <is>
          <t>GIUSFREDI</t>
        </is>
      </c>
      <c r="C76" t="inlineStr"/>
      <c r="D76">
        <f>HYPERLINK("https://www.procyclingstats.com/search.php?term=GIUSFREDI","Cerca su PCS")</f>
        <v/>
      </c>
    </row>
    <row r="77">
      <c r="A77" t="n">
        <v>76</v>
      </c>
      <c r="B77" t="inlineStr">
        <is>
          <t>U.C. CITTA' DI CASTELLO A.S.D.</t>
        </is>
      </c>
      <c r="C77" t="inlineStr"/>
      <c r="D77">
        <f>HYPERLINK("https://www.procyclingstats.com/search.php?term=U.C.+CITTA'+DI+CASTELLO+A.S.D.","Cerca su PCS")</f>
        <v/>
      </c>
    </row>
    <row r="78">
      <c r="A78" t="n">
        <v>77</v>
      </c>
      <c r="B78" t="inlineStr">
        <is>
          <t>V.C. PONTENURE 1957-VIGORPLANTT</t>
        </is>
      </c>
      <c r="C78" t="inlineStr"/>
      <c r="D78">
        <f>HYPERLINK("https://www.procyclingstats.com/search.php?term=V.C.+PONTENURE+1957-VIGORPLANTT","Cerca su PCS")</f>
        <v/>
      </c>
    </row>
    <row r="79">
      <c r="A79" t="n">
        <v>78</v>
      </c>
      <c r="B79" t="inlineStr">
        <is>
          <t>GS ASPIRATORI OTELLI ALCHEM CWC</t>
        </is>
      </c>
      <c r="C79" t="inlineStr"/>
      <c r="D79">
        <f>HYPERLINK("https://www.procyclingstats.com/search.php?term=GS+ASPIRATORI+OTELLI+ALCHEM+CWC","Cerca su PCS")</f>
        <v/>
      </c>
    </row>
    <row r="80">
      <c r="A80" t="n">
        <v>79</v>
      </c>
      <c r="B80" t="inlineStr">
        <is>
          <t>TEAM CICLISTICO PALETTI</t>
        </is>
      </c>
      <c r="C80" t="inlineStr"/>
      <c r="D80">
        <f>HYPERLINK("https://www.procyclingstats.com/search.php?term=TEAM+CICLISTICO+PALETTI","Cerca su PCS")</f>
        <v/>
      </c>
    </row>
    <row r="81">
      <c r="A81" t="n">
        <v>80</v>
      </c>
      <c r="B81" t="inlineStr">
        <is>
          <t>S.C.COTIGNOLESE</t>
        </is>
      </c>
      <c r="C81" t="inlineStr"/>
      <c r="D81">
        <f>HYPERLINK("https://www.procyclingstats.com/search.php?term=S.C.COTIGNOLESE","Cerca su PCS")</f>
        <v/>
      </c>
    </row>
    <row r="82">
      <c r="A82" t="n">
        <v>81</v>
      </c>
      <c r="B82" t="inlineStr">
        <is>
          <t>A.S.D. S.C. CERETOLESE 1969</t>
        </is>
      </c>
      <c r="C82" t="inlineStr"/>
      <c r="D82">
        <f>HYPERLINK("https://www.procyclingstats.com/search.php?term=A.S.D.+S.C.+CERETOLESE+1969","Cerca su PCS")</f>
        <v/>
      </c>
    </row>
    <row r="83">
      <c r="A83" t="n">
        <v>82</v>
      </c>
      <c r="B83" t="inlineStr">
        <is>
          <t>U.S. CALCARA</t>
        </is>
      </c>
      <c r="C83" t="inlineStr"/>
      <c r="D83">
        <f>HYPERLINK("https://www.procyclingstats.com/search.php?term=U.S.+CALCARA","Cerca su PCS")</f>
        <v/>
      </c>
    </row>
    <row r="84">
      <c r="A84" t="n">
        <v>83</v>
      </c>
      <c r="B84" t="inlineStr">
        <is>
          <t>ALBA OROBIA - BIASSONO</t>
        </is>
      </c>
      <c r="C84" t="inlineStr"/>
      <c r="D84">
        <f>HYPERLINK("https://www.procyclingstats.com/search.php?term=ALBA+OROBIA+-+BIASSONO","Cerca su PCS")</f>
        <v/>
      </c>
    </row>
    <row r="85">
      <c r="A85" t="n">
        <v>84</v>
      </c>
      <c r="B85" t="inlineStr">
        <is>
          <t>G.S. ALZATE BRIANZA - SYSTEM CAR</t>
        </is>
      </c>
      <c r="C85" t="inlineStr"/>
      <c r="D85">
        <f>HYPERLINK("https://www.procyclingstats.com/search.php?term=G.S.+ALZATE+BRIANZA+-+SYSTEM+CAR","Cerca su PCS")</f>
        <v/>
      </c>
    </row>
    <row r="86">
      <c r="A86" t="n">
        <v>85</v>
      </c>
      <c r="B86" t="inlineStr">
        <is>
          <t>MADONNA DI CAMPAGNA</t>
        </is>
      </c>
      <c r="C86" t="inlineStr"/>
      <c r="D86">
        <f>HYPERLINK("https://www.procyclingstats.com/search.php?term=MADONNA+DI+CAMPAGNA","Cerca su PCS")</f>
        <v/>
      </c>
    </row>
    <row r="87">
      <c r="A87" t="n">
        <v>86</v>
      </c>
      <c r="B87" t="inlineStr">
        <is>
          <t>PEDALE OSSOLANO</t>
        </is>
      </c>
      <c r="C87" t="inlineStr"/>
      <c r="D87">
        <f>HYPERLINK("https://www.procyclingstats.com/search.php?term=PEDALE+OSSOLANO","Cerca su PCS")</f>
        <v/>
      </c>
    </row>
    <row r="88">
      <c r="A88" t="n">
        <v>87</v>
      </c>
      <c r="B88" t="inlineStr">
        <is>
          <t>SANTA CRUZ TSA BELTRAMI</t>
        </is>
      </c>
      <c r="C88" t="inlineStr"/>
      <c r="D88">
        <f>HYPERLINK("https://www.procyclingstats.com/search.php?term=SANTA+CRUZ+TSA+BELTRAMI","Cerca su PCS")</f>
        <v/>
      </c>
    </row>
    <row r="89">
      <c r="A89" t="n">
        <v>88</v>
      </c>
      <c r="B89" t="inlineStr">
        <is>
          <t>UC EMPOLESE</t>
        </is>
      </c>
      <c r="C89" t="inlineStr"/>
      <c r="D89">
        <f>HYPERLINK("https://www.procyclingstats.com/search.php?term=UC+EMPOLESE","Cerca su PCS")</f>
        <v/>
      </c>
    </row>
    <row r="90">
      <c r="A90" t="n">
        <v>89</v>
      </c>
      <c r="B90" t="inlineStr">
        <is>
          <t>VELO CLUB S.C. EMPOLI</t>
        </is>
      </c>
      <c r="C90" t="inlineStr"/>
      <c r="D90">
        <f>HYPERLINK("https://www.procyclingstats.com/search.php?term=VELO+CLUB+S.C.+EMPOLI","Cerca su PCS")</f>
        <v/>
      </c>
    </row>
    <row r="91">
      <c r="A91" t="n">
        <v>90</v>
      </c>
      <c r="B91" t="inlineStr">
        <is>
          <t>GS BERTI MOBILI BENASSI</t>
        </is>
      </c>
      <c r="C91" t="inlineStr"/>
      <c r="D91">
        <f>HYPERLINK("https://www.procyclingstats.com/search.php?term=GS+BERTI+MOBILI+BENASSI","Cerca su PCS")</f>
        <v/>
      </c>
    </row>
    <row r="92">
      <c r="A92" t="n">
        <v>91</v>
      </c>
      <c r="B92" t="inlineStr">
        <is>
          <t>CONTRABAND CYCLING TEAM ASD</t>
        </is>
      </c>
      <c r="C92" t="inlineStr"/>
      <c r="D92">
        <f>HYPERLINK("https://www.procyclingstats.com/search.php?term=CONTRABAND+CYCLING+TEAM+ASD","Cerca su PCS")</f>
        <v/>
      </c>
    </row>
    <row r="93">
      <c r="A93" t="n">
        <v>92</v>
      </c>
      <c r="B93" t="inlineStr">
        <is>
          <t>CICLISTICA BORDIGHERA</t>
        </is>
      </c>
      <c r="C93" t="inlineStr"/>
      <c r="D93">
        <f>HYPERLINK("https://www.procyclingstats.com/search.php?term=CICLISTICA+BORDIGHERA","Cerca su PCS")</f>
        <v/>
      </c>
    </row>
    <row r="94">
      <c r="A94" t="n">
        <v>93</v>
      </c>
      <c r="B94" t="inlineStr">
        <is>
          <t>UC COLTANO GRUBE COSTRUZIONI</t>
        </is>
      </c>
      <c r="C94" t="inlineStr"/>
      <c r="D94">
        <f>HYPERLINK("https://www.procyclingstats.com/search.php?term=UC+COLTANO+GRUBE+COSTRUZIONI","Cerca su PCS")</f>
        <v/>
      </c>
    </row>
    <row r="95">
      <c r="A95" t="n">
        <v>94</v>
      </c>
      <c r="B95" t="inlineStr">
        <is>
          <t>UC PIANO DI MOMMIO - SPEEDY BIKE</t>
        </is>
      </c>
      <c r="C95" t="inlineStr"/>
      <c r="D95">
        <f>HYPERLINK("https://www.procyclingstats.com/search.php?term=UC+PIANO+DI+MOMMIO+-+SPEEDY+BIKE","Cerca su PCS")</f>
        <v/>
      </c>
    </row>
    <row r="96">
      <c r="A96" t="n">
        <v>95</v>
      </c>
      <c r="B96" t="inlineStr">
        <is>
          <t>PEDALE SARZANESE</t>
        </is>
      </c>
      <c r="C96" t="inlineStr"/>
      <c r="D96">
        <f>HYPERLINK("https://www.procyclingstats.com/search.php?term=PEDALE+SARZANESE","Cerca su PCS")</f>
        <v/>
      </c>
    </row>
    <row r="97">
      <c r="A97" t="n">
        <v>96</v>
      </c>
      <c r="B97" t="inlineStr">
        <is>
          <t>POL. MILLELUCI CICLISMO</t>
        </is>
      </c>
      <c r="C97" t="inlineStr"/>
      <c r="D97">
        <f>HYPERLINK("https://www.procyclingstats.com/search.php?term=POL.+MILLELUCI+CICLISMO","Cerca su PCS")</f>
        <v/>
      </c>
    </row>
    <row r="98">
      <c r="A98" t="n">
        <v>97</v>
      </c>
      <c r="B98" t="inlineStr">
        <is>
          <t>A.S.D. GDS TEAM COMPETITION</t>
        </is>
      </c>
      <c r="C98" t="inlineStr"/>
      <c r="D98">
        <f>HYPERLINK("https://www.procyclingstats.com/search.php?term=A.S.D.+GDS+TEAM+COMPETITION","Cerca su PCS")</f>
        <v/>
      </c>
    </row>
    <row r="99">
      <c r="A99" t="n">
        <v>98</v>
      </c>
      <c r="B99" t="inlineStr">
        <is>
          <t>A.S.D. PROBIKE ERICE</t>
        </is>
      </c>
      <c r="C99" t="inlineStr"/>
      <c r="D99">
        <f>HYPERLINK("https://www.procyclingstats.com/search.php?term=A.S.D.+PROBIKE+ERICE","Cerca su PCS")</f>
        <v/>
      </c>
    </row>
    <row r="100">
      <c r="A100" t="n">
        <v>99</v>
      </c>
      <c r="B100" t="inlineStr">
        <is>
          <t>REVOLUTION BIKE</t>
        </is>
      </c>
      <c r="C100" t="inlineStr"/>
      <c r="D100">
        <f>HYPERLINK("https://www.procyclingstats.com/search.php?term=REVOLUTION+BIKE","Cerca su PCS")</f>
        <v/>
      </c>
    </row>
    <row r="101">
      <c r="A101" t="n">
        <v>100</v>
      </c>
      <c r="B101" t="inlineStr">
        <is>
          <t>ASD SICILY BIKE ACADEMY</t>
        </is>
      </c>
      <c r="C101" t="inlineStr"/>
      <c r="D101">
        <f>HYPERLINK("https://www.procyclingstats.com/search.php?term=ASD+SICILY+BIKE+ACADEMY","Cerca su PCS")</f>
        <v/>
      </c>
    </row>
    <row r="102">
      <c r="A102" t="n">
        <v>101</v>
      </c>
      <c r="B102" t="inlineStr">
        <is>
          <t>ASD LPM GROUP</t>
        </is>
      </c>
      <c r="C102" t="inlineStr"/>
      <c r="D102">
        <f>HYPERLINK("https://www.procyclingstats.com/search.php?term=ASD+LPM+GROUP","Cerca su PCS")</f>
        <v/>
      </c>
    </row>
    <row r="103">
      <c r="A103" t="n">
        <v>102</v>
      </c>
      <c r="B103" t="inlineStr">
        <is>
          <t>NONSOLOBIKE</t>
        </is>
      </c>
      <c r="C103" t="inlineStr"/>
      <c r="D103">
        <f>HYPERLINK("https://www.procyclingstats.com/search.php?term=NONSOLOBIKE","Cerca su PCS")</f>
        <v/>
      </c>
    </row>
    <row r="104">
      <c r="A104" t="n">
        <v>103</v>
      </c>
      <c r="B104" t="inlineStr">
        <is>
          <t>TEAM NIBALI</t>
        </is>
      </c>
      <c r="C104" t="inlineStr"/>
      <c r="D104">
        <f>HYPERLINK("https://www.procyclingstats.com/search.php?term=TEAM+NIBALI","Cerca su PCS")</f>
        <v/>
      </c>
    </row>
    <row r="105">
      <c r="A105" t="n">
        <v>104</v>
      </c>
      <c r="B105" t="inlineStr">
        <is>
          <t>ARAN CUCINE VEJUS</t>
        </is>
      </c>
      <c r="C105" t="inlineStr"/>
      <c r="D105">
        <f>HYPERLINK("https://www.procyclingstats.com/search.php?term=ARAN+CUCINE+VEJUS","Cerca su PCS")</f>
        <v/>
      </c>
    </row>
    <row r="106">
      <c r="A106" t="n">
        <v>105</v>
      </c>
      <c r="B106" t="inlineStr">
        <is>
          <t>A.S.A.C.I. - EVONACICLI</t>
        </is>
      </c>
      <c r="C106" t="inlineStr"/>
      <c r="D106">
        <f>HYPERLINK("https://www.procyclingstats.com/search.php?term=A.S.A.C.I.+-+EVONACICLI","Cerca su PCS")</f>
        <v/>
      </c>
    </row>
    <row r="107">
      <c r="A107" t="n">
        <v>106</v>
      </c>
      <c r="B107" t="inlineStr">
        <is>
          <t>A.S.D. AMICISUPERSKI</t>
        </is>
      </c>
      <c r="C107" t="inlineStr"/>
      <c r="D107">
        <f>HYPERLINK("https://www.procyclingstats.com/search.php?term=A.S.D.+AMICISUPERSKI","Cerca su PCS")</f>
        <v/>
      </c>
    </row>
    <row r="108">
      <c r="A108" t="n">
        <v>107</v>
      </c>
      <c r="B108" t="inlineStr">
        <is>
          <t>V.C. LUGANO</t>
        </is>
      </c>
      <c r="C108" t="inlineStr"/>
      <c r="D108">
        <f>HYPERLINK("https://www.procyclingstats.com/search.php?term=V.C.+LUGANO","Cerca su PCS")</f>
        <v/>
      </c>
    </row>
    <row r="109">
      <c r="A109" t="n">
        <v>108</v>
      </c>
      <c r="B109" t="inlineStr">
        <is>
          <t>IL PIRATA SAMA RICAMBI OTC</t>
        </is>
      </c>
      <c r="C109" t="inlineStr"/>
      <c r="D109">
        <f>HYPERLINK("https://www.procyclingstats.com/search.php?term=IL+PIRATA+SAMA+RICAMBI+OTC","Cerca su PCS")</f>
        <v/>
      </c>
    </row>
    <row r="110">
      <c r="A110" t="n">
        <v>109</v>
      </c>
      <c r="B110" t="inlineStr">
        <is>
          <t>TEAM GIUNIGOR - B.BIKE</t>
        </is>
      </c>
      <c r="C110" t="inlineStr"/>
      <c r="D110">
        <f>HYPERLINK("https://www.procyclingstats.com/search.php?term=TEAM+GIUNIGOR+-+B.BIKE","Cerca su PCS")</f>
        <v/>
      </c>
    </row>
    <row r="111">
      <c r="A111" t="n">
        <v>110</v>
      </c>
      <c r="B111" t="inlineStr">
        <is>
          <t>FREE BIKE LT - LOGISTICA AMBIENTALE</t>
        </is>
      </c>
      <c r="C111" t="inlineStr"/>
      <c r="D111">
        <f>HYPERLINK("https://www.procyclingstats.com/search.php?term=FREE+BIKE+LT+-+LOGISTICA+AMBIENTALE","Cerca su PCS")</f>
        <v/>
      </c>
    </row>
    <row r="112">
      <c r="A112" t="n">
        <v>111</v>
      </c>
      <c r="B112" t="inlineStr">
        <is>
          <t>C.C. APPENNINICO 1907</t>
        </is>
      </c>
      <c r="C112" t="inlineStr"/>
      <c r="D112">
        <f>HYPERLINK("https://www.procyclingstats.com/search.php?term=C.C.+APPENNINICO+1907","Cerca su PCS")</f>
        <v/>
      </c>
    </row>
    <row r="113">
      <c r="A113" t="n">
        <v>112</v>
      </c>
      <c r="B113" t="inlineStr">
        <is>
          <t>A.S.D. SPORTEVEN CYCLING GROUP</t>
        </is>
      </c>
      <c r="C113" t="inlineStr"/>
      <c r="D113">
        <f>HYPERLINK("https://www.procyclingstats.com/search.php?term=A.S.D.+SPORTEVEN+CYCLING+GROUP","Cerca su PCS")</f>
        <v/>
      </c>
    </row>
    <row r="114">
      <c r="A114" t="n">
        <v>113</v>
      </c>
      <c r="B114" t="inlineStr">
        <is>
          <t>VC SAN VENDEMIANO</t>
        </is>
      </c>
      <c r="C114" t="inlineStr"/>
      <c r="D114">
        <f>HYPERLINK("https://www.procyclingstats.com/search.php?term=VC+SAN+VENDEMIANO","Cerca su PCS")</f>
        <v/>
      </c>
    </row>
    <row r="115">
      <c r="A115" t="n">
        <v>114</v>
      </c>
      <c r="B115" t="inlineStr">
        <is>
          <t>S.C. CAVRIAGO</t>
        </is>
      </c>
      <c r="C115" t="inlineStr"/>
      <c r="D115">
        <f>HYPERLINK("https://www.procyclingstats.com/search.php?term=S.C.+CAVRIAGO","Cerca su PCS")</f>
        <v/>
      </c>
    </row>
    <row r="116">
      <c r="A116" t="n">
        <v>115</v>
      </c>
      <c r="B116" t="inlineStr">
        <is>
          <t>PEDALE RIMINESE FRECCE ROSSE</t>
        </is>
      </c>
      <c r="C116" t="inlineStr"/>
      <c r="D116">
        <f>HYPERLINK("https://www.procyclingstats.com/search.php?term=PEDALE+RIMINESE+FRECCE+ROSSE","Cerca su PCS")</f>
        <v/>
      </c>
    </row>
    <row r="117">
      <c r="A117" t="n">
        <v>116</v>
      </c>
      <c r="B117" t="inlineStr">
        <is>
          <t>A.S.D. CICLISTICA 2000</t>
        </is>
      </c>
      <c r="C117" t="inlineStr"/>
      <c r="D117">
        <f>HYPERLINK("https://www.procyclingstats.com/search.php?term=A.S.D.+CICLISTICA+2000","Cerca su PCS")</f>
        <v/>
      </c>
    </row>
    <row r="118">
      <c r="A118" t="n">
        <v>117</v>
      </c>
      <c r="B118" t="inlineStr">
        <is>
          <t>ASD G. C. FAUSTO COPPI</t>
        </is>
      </c>
      <c r="C118" t="inlineStr"/>
      <c r="D118">
        <f>HYPERLINK("https://www.procyclingstats.com/search.php?term=ASD+G.+C.+FAUSTO+COPPI","Cerca su PCS")</f>
        <v/>
      </c>
    </row>
    <row r="119">
      <c r="A119" t="n">
        <v>118</v>
      </c>
      <c r="B119" t="inlineStr">
        <is>
          <t>VC CREMONESE</t>
        </is>
      </c>
      <c r="C119" t="inlineStr"/>
      <c r="D119">
        <f>HYPERLINK("https://www.procyclingstats.com/search.php?term=VC+CREMONESE","Cerca su PCS")</f>
        <v/>
      </c>
    </row>
    <row r="120">
      <c r="A120" t="n">
        <v>119</v>
      </c>
      <c r="B120" t="inlineStr">
        <is>
          <t>ASS. CICLISTICA RECANATI</t>
        </is>
      </c>
      <c r="C120" t="inlineStr"/>
      <c r="D120">
        <f>HYPERLINK("https://www.procyclingstats.com/search.php?term=ASS.+CICLISTICA+RECANATI","Cerca su PCS")</f>
        <v/>
      </c>
    </row>
    <row r="121">
      <c r="A121" t="n">
        <v>120</v>
      </c>
      <c r="B121" t="inlineStr">
        <is>
          <t>U.C.PESSANO A.S.D.</t>
        </is>
      </c>
      <c r="C121" t="inlineStr"/>
      <c r="D121">
        <f>HYPERLINK("https://www.procyclingstats.com/search.php?term=U.C.PESSANO+A.S.D.","Cerca su PCS")</f>
        <v/>
      </c>
    </row>
    <row r="122">
      <c r="A122" t="n">
        <v>121</v>
      </c>
      <c r="B122" t="inlineStr">
        <is>
          <t>POL. MOLINELLO</t>
        </is>
      </c>
      <c r="C122" t="inlineStr"/>
      <c r="D122">
        <f>HYPERLINK("https://www.procyclingstats.com/search.php?term=POL.+MOLINELLO","Cerca su PCS")</f>
        <v/>
      </c>
    </row>
    <row r="123">
      <c r="A123" t="n">
        <v>122</v>
      </c>
      <c r="B123" t="inlineStr">
        <is>
          <t>G.S. PREALPINO A.S.D.</t>
        </is>
      </c>
      <c r="C123" t="inlineStr"/>
      <c r="D123">
        <f>HYPERLINK("https://www.procyclingstats.com/search.php?term=G.S.+PREALPINO+A.S.D.","Cerca su PCS")</f>
        <v/>
      </c>
    </row>
    <row r="124">
      <c r="A124" t="n">
        <v>123</v>
      </c>
      <c r="B124" t="inlineStr">
        <is>
          <t>OXYGEN EBIKE STORE BRESCIA</t>
        </is>
      </c>
      <c r="C124" t="inlineStr"/>
      <c r="D124">
        <f>HYPERLINK("https://www.procyclingstats.com/search.php?term=OXYGEN+EBIKE+STORE+BRESCIA","Cerca su PCS")</f>
        <v/>
      </c>
    </row>
    <row r="125">
      <c r="A125" t="n">
        <v>124</v>
      </c>
      <c r="B125" t="inlineStr">
        <is>
          <t>UC COSTAMASNAGA ASD</t>
        </is>
      </c>
      <c r="C125" t="inlineStr"/>
      <c r="D125">
        <f>HYPERLINK("https://www.procyclingstats.com/search.php?term=UC+COSTAMASNAGA+ASD","Cerca su PCS")</f>
        <v/>
      </c>
    </row>
    <row r="126">
      <c r="A126" t="n">
        <v>125</v>
      </c>
      <c r="B126" t="inlineStr">
        <is>
          <t>S.C. BRUGHERIO SPORTIVA ASD</t>
        </is>
      </c>
      <c r="C126" t="inlineStr"/>
      <c r="D126">
        <f>HYPERLINK("https://www.procyclingstats.com/search.php?term=S.C.+BRUGHERIO+SPORTIVA+ASD","Cerca su PCS")</f>
        <v/>
      </c>
    </row>
    <row r="127">
      <c r="A127" t="n">
        <v>126</v>
      </c>
      <c r="B127" t="inlineStr">
        <is>
          <t>CRAZY WHEELS - CYCLING ACADEMY</t>
        </is>
      </c>
      <c r="C127" t="inlineStr"/>
      <c r="D127">
        <f>HYPERLINK("https://www.procyclingstats.com/search.php?term=CRAZY+WHEELS+-+CYCLING+ACADEMY","Cerca su PCS")</f>
        <v/>
      </c>
    </row>
    <row r="128">
      <c r="A128" t="n">
        <v>127</v>
      </c>
      <c r="B128" t="inlineStr">
        <is>
          <t>S.C. TERRANOVA FANCELLO CICLI</t>
        </is>
      </c>
      <c r="C128" t="inlineStr"/>
      <c r="D128">
        <f>HYPERLINK("https://www.procyclingstats.com/search.php?term=S.C.+TERRANOVA+FANCELLO+CICLI","Cerca su PCS")</f>
        <v/>
      </c>
    </row>
    <row r="129">
      <c r="A129" t="n">
        <v>128</v>
      </c>
      <c r="B129" t="inlineStr">
        <is>
          <t>POOL BIKE SERRAMANNA</t>
        </is>
      </c>
      <c r="C129" t="inlineStr"/>
      <c r="D129">
        <f>HYPERLINK("https://www.procyclingstats.com/search.php?term=POOL+BIKE+SERRAMANNA","Cerca su PCS")</f>
        <v/>
      </c>
    </row>
    <row r="130">
      <c r="A130" t="n">
        <v>129</v>
      </c>
      <c r="B130" t="inlineStr">
        <is>
          <t>S.C. OZIERESE</t>
        </is>
      </c>
      <c r="C130" t="inlineStr"/>
      <c r="D130">
        <f>HYPERLINK("https://www.procyclingstats.com/search.php?term=S.C.+OZIERESE","Cerca su PCS")</f>
        <v/>
      </c>
    </row>
    <row r="131">
      <c r="A131" t="n">
        <v>130</v>
      </c>
      <c r="B131" t="inlineStr">
        <is>
          <t>S.C. PATTADA</t>
        </is>
      </c>
      <c r="C131" t="inlineStr"/>
      <c r="D131">
        <f>HYPERLINK("https://www.procyclingstats.com/search.php?term=S.C.+PATTADA","Cerca su PCS")</f>
        <v/>
      </c>
    </row>
    <row r="132">
      <c r="A132" t="n">
        <v>131</v>
      </c>
      <c r="B132" t="inlineStr">
        <is>
          <t>SAMABIKE</t>
        </is>
      </c>
      <c r="C132" t="inlineStr"/>
      <c r="D132">
        <f>HYPERLINK("https://www.procyclingstats.com/search.php?term=SAMABIKE","Cerca su PCS")</f>
        <v/>
      </c>
    </row>
    <row r="133">
      <c r="A133" t="n">
        <v>132</v>
      </c>
      <c r="B133" t="inlineStr">
        <is>
          <t>DUEPPI CYCLING PROJECT</t>
        </is>
      </c>
      <c r="C133" t="inlineStr"/>
      <c r="D133">
        <f>HYPERLINK("https://www.procyclingstats.com/search.php?term=DUEPPI+CYCLING+PROJECT","Cerca su PCS")</f>
        <v/>
      </c>
    </row>
    <row r="134">
      <c r="A134" t="n">
        <v>133</v>
      </c>
      <c r="B134" t="inlineStr">
        <is>
          <t>CANNEDU ITTIRI "A. MANCA" ASD</t>
        </is>
      </c>
      <c r="C134" t="inlineStr"/>
      <c r="D134">
        <f>HYPERLINK("https://www.procyclingstats.com/search.php?term=CANNEDU+ITTIRI+"A.+MANCA"+ASD","Cerca su PCS")</f>
        <v/>
      </c>
    </row>
    <row r="135">
      <c r="A135" t="n">
        <v>134</v>
      </c>
      <c r="B135" t="inlineStr">
        <is>
          <t>SESTU BIKE A.S.D.</t>
        </is>
      </c>
      <c r="C135" t="inlineStr"/>
      <c r="D135">
        <f>HYPERLINK("https://www.procyclingstats.com/search.php?term=SESTU+BIKE+A.S.D.","Cerca su PCS")</f>
        <v/>
      </c>
    </row>
    <row r="136">
      <c r="A136" t="n">
        <v>135</v>
      </c>
      <c r="B136" t="inlineStr">
        <is>
          <t>ALGHERO BIKE A.S.D.</t>
        </is>
      </c>
      <c r="C136" t="inlineStr"/>
      <c r="D136">
        <f>HYPERLINK("https://www.procyclingstats.com/search.php?term=ALGHERO+BIKE+A.S.D.","Cerca su PCS")</f>
        <v/>
      </c>
    </row>
    <row r="137">
      <c r="A137" t="n">
        <v>136</v>
      </c>
      <c r="B137" t="inlineStr">
        <is>
          <t>S.C. MONTEPONI A.S.D.</t>
        </is>
      </c>
      <c r="C137" t="inlineStr"/>
      <c r="D137">
        <f>HYPERLINK("https://www.procyclingstats.com/search.php?term=S.C.+MONTEPONI+A.S.D.","Cerca su PCS")</f>
        <v/>
      </c>
    </row>
    <row r="138">
      <c r="A138" t="n">
        <v>137</v>
      </c>
      <c r="B138" t="inlineStr">
        <is>
          <t>U.S. FORTI E LIBERI - ZANETTI CICLI</t>
        </is>
      </c>
      <c r="C138" t="inlineStr"/>
      <c r="D138">
        <f>HYPERLINK("https://www.procyclingstats.com/search.php?term=U.S.+FORTI+E+LIBERI+-+ZANETTI+CICLI","Cerca su PCS")</f>
        <v/>
      </c>
    </row>
    <row r="139">
      <c r="A139" t="n">
        <v>138</v>
      </c>
      <c r="B139" t="inlineStr">
        <is>
          <t>G.S. TAVO BONIN BIKE</t>
        </is>
      </c>
      <c r="C139" t="inlineStr"/>
      <c r="D139">
        <f>HYPERLINK("https://www.procyclingstats.com/search.php?term=G.S.+TAVO+BONIN+BIKE","Cerca su PCS")</f>
        <v/>
      </c>
    </row>
    <row r="140">
      <c r="A140" t="n">
        <v>139</v>
      </c>
      <c r="B140" t="inlineStr">
        <is>
          <t>MST CYCLING - SANDRIGO BIKE</t>
        </is>
      </c>
      <c r="C140" t="inlineStr"/>
      <c r="D140">
        <f>HYPERLINK("https://www.procyclingstats.com/search.php?term=MST+CYCLING+-+SANDRIGO+BIKE","Cerca su PCS")</f>
        <v/>
      </c>
    </row>
    <row r="141">
      <c r="A141" t="n">
        <v>140</v>
      </c>
      <c r="B141" t="inlineStr">
        <is>
          <t>UC GODIGESE ABRA IRIDE</t>
        </is>
      </c>
      <c r="C141" t="inlineStr"/>
      <c r="D141">
        <f>HYPERLINK("https://www.procyclingstats.com/search.php?term=UC+GODIGESE+ABRA+IRIDE","Cerca su PCS")</f>
        <v/>
      </c>
    </row>
    <row r="142">
      <c r="A142" t="n">
        <v>141</v>
      </c>
      <c r="B142" t="inlineStr">
        <is>
          <t>UNIONE CICLISTICA MIRANO</t>
        </is>
      </c>
      <c r="C142" t="inlineStr"/>
      <c r="D142">
        <f>HYPERLINK("https://www.procyclingstats.com/search.php?term=UNIONE+CICLISTICA+MIRANO","Cerca su PCS")</f>
        <v/>
      </c>
    </row>
    <row r="143">
      <c r="A143" t="n">
        <v>142</v>
      </c>
      <c r="B143" t="inlineStr">
        <is>
          <t>VELO JUNIOR NOVE</t>
        </is>
      </c>
      <c r="C143" t="inlineStr"/>
      <c r="D143">
        <f>HYPERLINK("https://www.procyclingstats.com/search.php?term=VELO+JUNIOR+NOVE","Cerca su PCS")</f>
        <v/>
      </c>
    </row>
    <row r="144">
      <c r="A144" t="n">
        <v>143</v>
      </c>
      <c r="B144" t="inlineStr">
        <is>
          <t>U.C.S. OTTAVIO ZULIANI A.S.D.</t>
        </is>
      </c>
      <c r="C144" t="inlineStr"/>
      <c r="D144">
        <f>HYPERLINK("https://www.procyclingstats.com/search.php?term=U.C.S.+OTTAVIO+ZULIANI+A.S.D.","Cerca su PCS")</f>
        <v/>
      </c>
    </row>
    <row r="145">
      <c r="A145" t="n">
        <v>144</v>
      </c>
      <c r="B145" t="inlineStr">
        <is>
          <t>TEAM BOSCO DI ORSAGO</t>
        </is>
      </c>
      <c r="C145" t="inlineStr"/>
      <c r="D145">
        <f>HYPERLINK("https://www.procyclingstats.com/search.php?term=TEAM+BOSCO+DI+ORSAGO","Cerca su PCS")</f>
        <v/>
      </c>
    </row>
    <row r="146">
      <c r="A146" t="n">
        <v>145</v>
      </c>
      <c r="B146" t="inlineStr">
        <is>
          <t>G.C.POSTIOMA</t>
        </is>
      </c>
      <c r="C146" t="inlineStr"/>
      <c r="D146">
        <f>HYPERLINK("https://www.procyclingstats.com/search.php?term=G.C.POSTIOMA","Cerca su PCS")</f>
        <v/>
      </c>
    </row>
    <row r="147">
      <c r="A147" t="n">
        <v>146</v>
      </c>
      <c r="B147" t="inlineStr">
        <is>
          <t>V CYCLING - ARICI CLAUDIA - PITON</t>
        </is>
      </c>
      <c r="C147" t="inlineStr"/>
      <c r="D147">
        <f>HYPERLINK("https://www.procyclingstats.com/search.php?term=V+CYCLING+-+ARICI+CLAUDIA+-+PITON","Cerca su PCS")</f>
        <v/>
      </c>
    </row>
    <row r="148">
      <c r="A148" t="n">
        <v>147</v>
      </c>
      <c r="B148" t="inlineStr">
        <is>
          <t>G.S. RONCO MAURIGI DELIO GALLINA</t>
        </is>
      </c>
      <c r="C148" t="inlineStr"/>
      <c r="D148">
        <f>HYPERLINK("https://www.procyclingstats.com/search.php?term=G.S.+RONCO+MAURIGI+DELIO+GALLINA","Cerca su PCS")</f>
        <v/>
      </c>
    </row>
    <row r="149">
      <c r="A149" t="n">
        <v>148</v>
      </c>
      <c r="B149" t="inlineStr">
        <is>
          <t>FERALPI MONTECLARENSE ASD</t>
        </is>
      </c>
      <c r="C149" t="inlineStr"/>
      <c r="D149">
        <f>HYPERLINK("https://www.procyclingstats.com/search.php?term=FERALPI+MONTECLARENSE+ASD","Cerca su PCS")</f>
        <v/>
      </c>
    </row>
    <row r="150">
      <c r="A150" t="n">
        <v>149</v>
      </c>
      <c r="B150" t="inlineStr">
        <is>
          <t>A.S.D. PEDALE CASTELLANO</t>
        </is>
      </c>
      <c r="C150" t="inlineStr"/>
      <c r="D150">
        <f>HYPERLINK("https://www.procyclingstats.com/search.php?term=A.S.D.+PEDALE+CASTELLANO","Cerca su PCS")</f>
        <v/>
      </c>
    </row>
    <row r="151">
      <c r="A151" t="n">
        <v>150</v>
      </c>
      <c r="B151" t="inlineStr">
        <is>
          <t>VANOTTI CYCLE TEAM</t>
        </is>
      </c>
      <c r="C151" t="inlineStr"/>
      <c r="D151">
        <f>HYPERLINK("https://www.procyclingstats.com/search.php?term=VANOTTI+CYCLE+TEAM","Cerca su PCS")</f>
        <v/>
      </c>
    </row>
    <row r="152">
      <c r="A152" t="n">
        <v>151</v>
      </c>
      <c r="B152" t="inlineStr">
        <is>
          <t>SAN GEO A.S.D.</t>
        </is>
      </c>
      <c r="C152" t="inlineStr"/>
      <c r="D152">
        <f>HYPERLINK("https://www.procyclingstats.com/search.php?term=SAN+GEO+A.S.D.","Cerca su PCS")</f>
        <v/>
      </c>
    </row>
    <row r="153">
      <c r="A153" t="n">
        <v>152</v>
      </c>
      <c r="B153" t="inlineStr">
        <is>
          <t>WSV DE PEDDELAARS</t>
        </is>
      </c>
      <c r="C153" t="inlineStr"/>
      <c r="D153">
        <f>HYPERLINK("https://www.procyclingstats.com/search.php?term=WSV+DE+PEDDELAARS","Cerca su PCS")</f>
        <v/>
      </c>
    </row>
    <row r="154">
      <c r="A154" t="n">
        <v>153</v>
      </c>
      <c r="B154" t="inlineStr">
        <is>
          <t>GHEDI CICLISMO ASD - BIESSE CARRERA</t>
        </is>
      </c>
      <c r="C154" t="inlineStr"/>
      <c r="D154">
        <f>HYPERLINK("https://www.procyclingstats.com/search.php?term=GHEDI+CICLISMO+ASD+-+BIESSE+CARRERA","Cerca su PCS")</f>
        <v/>
      </c>
    </row>
    <row r="155">
      <c r="A155" t="n">
        <v>154</v>
      </c>
      <c r="B155" t="inlineStr">
        <is>
          <t>TEAM TECHNIPES #INEMILIAROMAGNA</t>
        </is>
      </c>
      <c r="C155" t="inlineStr"/>
      <c r="D155">
        <f>HYPERLINK("https://www.procyclingstats.com/search.php?term=TEAM+TECHNIPES+#INEMILIAROMAGNA","Cerca su PCS")</f>
        <v/>
      </c>
    </row>
    <row r="156">
      <c r="A156" t="n">
        <v>155</v>
      </c>
      <c r="B156" t="inlineStr">
        <is>
          <t>GALLINA LUCCHINI ECOTEK</t>
        </is>
      </c>
      <c r="C156" t="inlineStr"/>
      <c r="D156">
        <f>HYPERLINK("https://www.procyclingstats.com/search.php?term=GALLINA+LUCCHINI+ECOTEK","Cerca su PCS")</f>
        <v/>
      </c>
    </row>
    <row r="157">
      <c r="A157" t="n">
        <v>156</v>
      </c>
      <c r="B157" t="inlineStr">
        <is>
          <t>VELO CLUB CATTOLICA</t>
        </is>
      </c>
      <c r="C157" t="inlineStr"/>
      <c r="D157">
        <f>HYPERLINK("https://www.procyclingstats.com/search.php?term=VELO+CLUB+CATTOLICA","Cerca su PCS")</f>
        <v/>
      </c>
    </row>
    <row r="158">
      <c r="A158" t="n">
        <v>157</v>
      </c>
      <c r="B158" t="inlineStr">
        <is>
          <t>ARDENS CYCLING TEAM</t>
        </is>
      </c>
      <c r="C158" t="inlineStr"/>
      <c r="D158">
        <f>HYPERLINK("https://www.procyclingstats.com/search.php?term=ARDENS+CYCLING+TEAM","Cerca su PCS")</f>
        <v/>
      </c>
    </row>
    <row r="159">
      <c r="A159" t="n">
        <v>158</v>
      </c>
      <c r="B159" t="inlineStr">
        <is>
          <t>S. C. MINCIO-CHIESE A.S.D</t>
        </is>
      </c>
      <c r="C159" t="inlineStr"/>
      <c r="D159">
        <f>HYPERLINK("https://www.procyclingstats.com/search.php?term=S.+C.+MINCIO-CHIESE+A.S.D","Cerca su PCS")</f>
        <v/>
      </c>
    </row>
    <row r="160">
      <c r="A160" t="n">
        <v>159</v>
      </c>
      <c r="B160" t="inlineStr">
        <is>
          <t>A.S.D. GIOCA IN BICI OGLIO PO</t>
        </is>
      </c>
      <c r="C160" t="inlineStr"/>
      <c r="D160">
        <f>HYPERLINK("https://www.procyclingstats.com/search.php?term=A.S.D.+GIOCA+IN+BICI+OGLIO+PO","Cerca su PCS")</f>
        <v/>
      </c>
    </row>
    <row r="161">
      <c r="A161" t="n">
        <v>160</v>
      </c>
      <c r="B161" t="inlineStr">
        <is>
          <t>S.C.D.ALMA JUVENTUS FANO</t>
        </is>
      </c>
      <c r="C161" t="inlineStr"/>
      <c r="D161">
        <f>HYPERLINK("https://www.procyclingstats.com/search.php?term=S.C.D.ALMA+JUVENTUS+FANO","Cerca su PCS")</f>
        <v/>
      </c>
    </row>
    <row r="162">
      <c r="A162" t="n">
        <v>161</v>
      </c>
      <c r="B162" t="inlineStr">
        <is>
          <t>S.C. TORRILE PR</t>
        </is>
      </c>
      <c r="C162" t="inlineStr"/>
      <c r="D162">
        <f>HYPERLINK("https://www.procyclingstats.com/search.php?term=S.C.+TORRILE+PR","Cerca su PCS")</f>
        <v/>
      </c>
    </row>
    <row r="163">
      <c r="A163" t="n">
        <v>162</v>
      </c>
      <c r="B163" t="inlineStr">
        <is>
          <t>S.C. PIACENZA A.S.D.</t>
        </is>
      </c>
      <c r="C163" t="inlineStr"/>
      <c r="D163">
        <f>HYPERLINK("https://www.procyclingstats.com/search.php?term=S.C.+PIACENZA+A.S.D.","Cerca su PCS")</f>
        <v/>
      </c>
    </row>
    <row r="164">
      <c r="A164" t="n">
        <v>163</v>
      </c>
      <c r="B164" t="inlineStr">
        <is>
          <t>VIGOR - CYCLING TEAM</t>
        </is>
      </c>
      <c r="C164" t="inlineStr"/>
      <c r="D164">
        <f>HYPERLINK("https://www.procyclingstats.com/search.php?term=VIGOR+-+CYCLING+TEAM","Cerca su PCS")</f>
        <v/>
      </c>
    </row>
    <row r="165">
      <c r="A165" t="n">
        <v>164</v>
      </c>
      <c r="B165" t="inlineStr">
        <is>
          <t>TEAM SERIO</t>
        </is>
      </c>
      <c r="C165" t="inlineStr"/>
      <c r="D165">
        <f>HYPERLINK("https://www.procyclingstats.com/search.php?term=TEAM+SERIO","Cerca su PCS")</f>
        <v/>
      </c>
    </row>
    <row r="166">
      <c r="A166" t="n">
        <v>165</v>
      </c>
      <c r="B166" t="inlineStr">
        <is>
          <t>U.S. PEDALE ARCORESE ASD</t>
        </is>
      </c>
      <c r="C166" t="inlineStr"/>
      <c r="D166">
        <f>HYPERLINK("https://www.procyclingstats.com/search.php?term=U.S.+PEDALE+ARCORESE+ASD","Cerca su PCS")</f>
        <v/>
      </c>
    </row>
    <row r="167">
      <c r="A167" t="n">
        <v>166</v>
      </c>
      <c r="B167" t="inlineStr">
        <is>
          <t>CICLISTICA OMNIA IMOLA</t>
        </is>
      </c>
      <c r="C167" t="inlineStr"/>
      <c r="D167">
        <f>HYPERLINK("https://www.procyclingstats.com/search.php?term=CICLISTICA+OMNIA+IMOLA","Cerca su PCS")</f>
        <v/>
      </c>
    </row>
    <row r="168">
      <c r="A168" t="n">
        <v>167</v>
      </c>
      <c r="B168" t="inlineStr">
        <is>
          <t>TOYOTA VALENCIA SAV</t>
        </is>
      </c>
      <c r="C168" t="inlineStr"/>
      <c r="D168">
        <f>HYPERLINK("https://www.procyclingstats.com/search.php?term=TOYOTA+VALENCIA+SAV","Cerca su PCS")</f>
        <v/>
      </c>
    </row>
    <row r="169">
      <c r="A169" t="n">
        <v>168</v>
      </c>
      <c r="B169" t="inlineStr">
        <is>
          <t>HORIZONS CYCLING CLUB</t>
        </is>
      </c>
      <c r="C169" t="inlineStr"/>
      <c r="D169">
        <f>HYPERLINK("https://www.procyclingstats.com/search.php?term=HORIZONS+CYCLING+CLUB","Cerca su PCS")</f>
        <v/>
      </c>
    </row>
    <row r="170">
      <c r="A170" t="n">
        <v>169</v>
      </c>
      <c r="B170" t="inlineStr">
        <is>
          <t>LOMBARDIA</t>
        </is>
      </c>
      <c r="C170" t="inlineStr"/>
      <c r="D170">
        <f>HYPERLINK("https://www.procyclingstats.com/search.php?term=LOMBARDIA","Cerca su PCS")</f>
        <v/>
      </c>
    </row>
    <row r="171">
      <c r="A171" t="n">
        <v>170</v>
      </c>
      <c r="B171" t="inlineStr">
        <is>
          <t>VENETO</t>
        </is>
      </c>
      <c r="C171" t="inlineStr"/>
      <c r="D171">
        <f>HYPERLINK("https://www.procyclingstats.com/search.php?term=VENETO","Cerca su PCS")</f>
        <v/>
      </c>
    </row>
    <row r="172">
      <c r="A172" t="n">
        <v>171</v>
      </c>
      <c r="B172" t="inlineStr">
        <is>
          <t>TRENTO</t>
        </is>
      </c>
      <c r="C172" t="inlineStr"/>
      <c r="D172">
        <f>HYPERLINK("https://www.procyclingstats.com/search.php?term=TRENTO","Cerca su PCS")</f>
        <v/>
      </c>
    </row>
    <row r="173">
      <c r="A173" t="n">
        <v>172</v>
      </c>
      <c r="B173" t="inlineStr">
        <is>
          <t>FRIULI VENEZIA GIULIA</t>
        </is>
      </c>
      <c r="C173" t="inlineStr"/>
      <c r="D173">
        <f>HYPERLINK("https://www.procyclingstats.com/search.php?term=FRIULI+VENEZIA+GIULIA","Cerca su PCS")</f>
        <v/>
      </c>
    </row>
    <row r="174">
      <c r="A174" t="n">
        <v>173</v>
      </c>
      <c r="B174" t="inlineStr">
        <is>
          <t>EMILIA ROMAGNA</t>
        </is>
      </c>
      <c r="C174" t="inlineStr"/>
      <c r="D174">
        <f>HYPERLINK("https://www.procyclingstats.com/search.php?term=EMILIA+ROMAGNA","Cerca su PCS")</f>
        <v/>
      </c>
    </row>
    <row r="175">
      <c r="A175" t="n">
        <v>174</v>
      </c>
      <c r="B175" t="inlineStr">
        <is>
          <t>BOLZANO</t>
        </is>
      </c>
      <c r="C175" t="inlineStr"/>
      <c r="D175">
        <f>HYPERLINK("https://www.procyclingstats.com/search.php?term=BOLZANO","Cerca su PCS")</f>
        <v/>
      </c>
    </row>
    <row r="176">
      <c r="A176" t="n">
        <v>175</v>
      </c>
      <c r="B176" t="inlineStr">
        <is>
          <t>LIGURIA</t>
        </is>
      </c>
      <c r="C176" t="inlineStr"/>
      <c r="D176">
        <f>HYPERLINK("https://www.procyclingstats.com/search.php?term=LIGURIA","Cerca su PCS")</f>
        <v/>
      </c>
    </row>
    <row r="177">
      <c r="A177" t="n">
        <v>176</v>
      </c>
      <c r="B177" t="inlineStr">
        <is>
          <t>PUGLIA</t>
        </is>
      </c>
      <c r="C177" t="inlineStr"/>
      <c r="D177">
        <f>HYPERLINK("https://www.procyclingstats.com/search.php?term=PUGLIA","Cerca su PCS")</f>
        <v/>
      </c>
    </row>
    <row r="178">
      <c r="A178" t="n">
        <v>177</v>
      </c>
      <c r="B178" t="inlineStr">
        <is>
          <t>TOSCANA</t>
        </is>
      </c>
      <c r="C178" t="inlineStr"/>
      <c r="D178">
        <f>HYPERLINK("https://www.procyclingstats.com/search.php?term=TOSCANA","Cerca su PCS")</f>
        <v/>
      </c>
    </row>
    <row r="179">
      <c r="A179" t="n">
        <v>178</v>
      </c>
      <c r="B179" t="inlineStr">
        <is>
          <t>TEAM POLTI VISITMALTA</t>
        </is>
      </c>
      <c r="C179" t="inlineStr"/>
      <c r="D179">
        <f>HYPERLINK("https://www.procyclingstats.com/search.php?term=TEAM+POLTI+VISITMALTA","Cerca su PCS")</f>
        <v/>
      </c>
    </row>
    <row r="180">
      <c r="A180" t="n">
        <v>179</v>
      </c>
      <c r="B180" t="inlineStr">
        <is>
          <t>MG K-VIS COSTRUZIONI E AMBIENTE</t>
        </is>
      </c>
      <c r="C180" t="inlineStr"/>
      <c r="D180">
        <f>HYPERLINK("https://www.procyclingstats.com/search.php?term=MG+K-VIS+COSTRUZIONI+E+AMBIENTE","Cerca su PCS")</f>
        <v/>
      </c>
    </row>
    <row r="181">
      <c r="A181" t="n">
        <v>180</v>
      </c>
      <c r="B181" t="inlineStr">
        <is>
          <t>GOODSHOP YOYOGURT</t>
        </is>
      </c>
      <c r="C181" t="inlineStr"/>
      <c r="D181">
        <f>HYPERLINK("https://www.procyclingstats.com/search.php?term=GOODSHOP+YOYOGURT","Cerca su PCS")</f>
        <v/>
      </c>
    </row>
    <row r="182">
      <c r="A182" t="n">
        <v>181</v>
      </c>
      <c r="B182" t="inlineStr">
        <is>
          <t>GS MALTINTI LAMPADARI BANCA CAMBIANO</t>
        </is>
      </c>
      <c r="C182" t="inlineStr"/>
      <c r="D182">
        <f>HYPERLINK("https://www.procyclingstats.com/search.php?term=GS+MALTINTI+LAMPADARI+BANCA+CAMBIANO","Cerca su PCS")</f>
        <v/>
      </c>
    </row>
    <row r="183">
      <c r="A183" t="n">
        <v>182</v>
      </c>
      <c r="B183" t="inlineStr">
        <is>
          <t>U.C. PIASCO</t>
        </is>
      </c>
      <c r="C183" t="inlineStr"/>
      <c r="D183">
        <f>HYPERLINK("https://www.procyclingstats.com/search.php?term=U.C.+PIASCO","Cerca su PCS")</f>
        <v/>
      </c>
    </row>
    <row r="184">
      <c r="A184" t="n">
        <v>183</v>
      </c>
      <c r="B184" t="inlineStr">
        <is>
          <t>NORDEST PETRUCCI ASSALI STEFEN</t>
        </is>
      </c>
      <c r="C184" t="inlineStr"/>
      <c r="D184">
        <f>HYPERLINK("https://www.procyclingstats.com/search.php?term=NORDEST+PETRUCCI+ASSALI+STEFEN","Cerca su PCS")</f>
        <v/>
      </c>
    </row>
    <row r="185">
      <c r="A185" t="n">
        <v>184</v>
      </c>
      <c r="B185" t="inlineStr">
        <is>
          <t>AUTOZAI-CONTRI</t>
        </is>
      </c>
      <c r="C185" t="inlineStr"/>
      <c r="D185">
        <f>HYPERLINK("https://www.procyclingstats.com/search.php?term=AUTOZAI-CONTRI","Cerca su PCS")</f>
        <v/>
      </c>
    </row>
    <row r="186">
      <c r="A186" t="n">
        <v>185</v>
      </c>
      <c r="B186" t="inlineStr">
        <is>
          <t>CLUB DEPORTIVO TRI SPORT</t>
        </is>
      </c>
      <c r="C186" t="inlineStr"/>
      <c r="D186">
        <f>HYPERLINK("https://www.procyclingstats.com/search.php?term=CLUB+DEPORTIVO+TRI+SPORT","Cerca su PCS")</f>
        <v/>
      </c>
    </row>
    <row r="187">
      <c r="A187" t="n">
        <v>186</v>
      </c>
      <c r="B187" t="inlineStr">
        <is>
          <t>TEAM GENERAL SYSTEM</t>
        </is>
      </c>
      <c r="C187" t="inlineStr"/>
      <c r="D187">
        <f>HYPERLINK("https://www.procyclingstats.com/search.php?term=TEAM+GENERAL+SYSTEM","Cerca su PCS")</f>
        <v/>
      </c>
    </row>
    <row r="188">
      <c r="A188" t="n">
        <v>187</v>
      </c>
      <c r="B188" t="inlineStr">
        <is>
          <t>SIDERMEC - SLP</t>
        </is>
      </c>
      <c r="C188" t="inlineStr"/>
      <c r="D188">
        <f>HYPERLINK("https://www.procyclingstats.com/search.php?term=SIDERMEC+-+SLP","Cerca su PCS")</f>
        <v/>
      </c>
    </row>
    <row r="189">
      <c r="A189" t="n">
        <v>188</v>
      </c>
      <c r="B189" t="inlineStr">
        <is>
          <t>TEAM VANGI TOMMASINI IL PIRATA</t>
        </is>
      </c>
      <c r="C189" t="inlineStr"/>
      <c r="D189">
        <f>HYPERLINK("https://www.procyclingstats.com/search.php?term=TEAM+VANGI+TOMMASINI+IL+PIRATA","Cerca su PCS")</f>
        <v/>
      </c>
    </row>
    <row r="190">
      <c r="A190" t="n">
        <v>189</v>
      </c>
      <c r="B190" t="inlineStr">
        <is>
          <t>ITALIA NUOVA BOLOGNA</t>
        </is>
      </c>
      <c r="C190" t="inlineStr"/>
      <c r="D190">
        <f>HYPERLINK("https://www.procyclingstats.com/search.php?term=ITALIA+NUOVA+BOLOGNA","Cerca su PCS")</f>
        <v/>
      </c>
    </row>
    <row r="191">
      <c r="A191" t="n">
        <v>190</v>
      </c>
      <c r="B191" t="inlineStr">
        <is>
          <t>QUILIANO BIKE SPEED WHEEL</t>
        </is>
      </c>
      <c r="C191" t="inlineStr"/>
      <c r="D191">
        <f>HYPERLINK("https://www.procyclingstats.com/search.php?term=QUILIANO+BIKE+SPEED+WHEEL","Cerca su PCS")</f>
        <v/>
      </c>
    </row>
    <row r="192">
      <c r="A192" t="n">
        <v>191</v>
      </c>
      <c r="B192" t="inlineStr">
        <is>
          <t>A.S.D. G.S. LUC BOVOLONE</t>
        </is>
      </c>
      <c r="C192" t="inlineStr"/>
      <c r="D192">
        <f>HYPERLINK("https://www.procyclingstats.com/search.php?term=A.S.D.+G.S.+LUC+BOVOLONE","Cerca su PCS")</f>
        <v/>
      </c>
    </row>
    <row r="193">
      <c r="A193" t="n">
        <v>192</v>
      </c>
      <c r="B193" t="inlineStr">
        <is>
          <t>BRUNO GAIGA C.A.M.P.I.</t>
        </is>
      </c>
      <c r="C193" t="inlineStr"/>
      <c r="D193">
        <f>HYPERLINK("https://www.procyclingstats.com/search.php?term=BRUNO+GAIGA+C.A.M.P.I.","Cerca su PCS")</f>
        <v/>
      </c>
    </row>
    <row r="194">
      <c r="A194" t="n">
        <v>193</v>
      </c>
      <c r="B194" t="inlineStr">
        <is>
          <t>A.S.D. US AUSONIA CSI PESCANTINA</t>
        </is>
      </c>
      <c r="C194" t="inlineStr"/>
      <c r="D194">
        <f>HYPERLINK("https://www.procyclingstats.com/search.php?term=A.S.D.+US+AUSONIA+CSI+PESCANTINA","Cerca su PCS")</f>
        <v/>
      </c>
    </row>
    <row r="195">
      <c r="A195" t="n">
        <v>194</v>
      </c>
      <c r="B195" t="inlineStr">
        <is>
          <t>LA TERMOPIAVE VALCAVASIA JUNIOR TEAM</t>
        </is>
      </c>
      <c r="C195" t="inlineStr"/>
      <c r="D195">
        <f>HYPERLINK("https://www.procyclingstats.com/search.php?term=LA+TERMOPIAVE+VALCAVASIA+JUNIOR+TEAM","Cerca su PCS")</f>
        <v/>
      </c>
    </row>
    <row r="196">
      <c r="A196" t="n">
        <v>195</v>
      </c>
      <c r="B196" t="inlineStr">
        <is>
          <t>GS CARTURA NALIN</t>
        </is>
      </c>
      <c r="C196" t="inlineStr"/>
      <c r="D196">
        <f>HYPERLINK("https://www.procyclingstats.com/search.php?term=GS+CARTURA+NALIN","Cerca su PCS")</f>
        <v/>
      </c>
    </row>
    <row r="197">
      <c r="A197" t="n">
        <v>196</v>
      </c>
      <c r="B197" t="inlineStr">
        <is>
          <t>POOL CANTU' - SOVICO - GB TEAM</t>
        </is>
      </c>
      <c r="C197" t="inlineStr"/>
      <c r="D197">
        <f>HYPERLINK("https://www.procyclingstats.com/search.php?term=POOL+CANTU'+-+SOVICO+-+GB+TEAM","Cerca su PCS")</f>
        <v/>
      </c>
    </row>
    <row r="198">
      <c r="A198" t="n">
        <v>197</v>
      </c>
      <c r="B198" t="inlineStr">
        <is>
          <t>V.C. CASSANO MAGNAGO 1992</t>
        </is>
      </c>
      <c r="C198" t="inlineStr"/>
      <c r="D198">
        <f>HYPERLINK("https://www.procyclingstats.com/search.php?term=V.C.+CASSANO+MAGNAGO+1992","Cerca su PCS")</f>
        <v/>
      </c>
    </row>
    <row r="199">
      <c r="A199" t="n">
        <v>198</v>
      </c>
      <c r="B199" t="inlineStr">
        <is>
          <t>PROGETTO CICLISMO - RODENGO S. ASD</t>
        </is>
      </c>
      <c r="C199" t="inlineStr"/>
      <c r="D199">
        <f>HYPERLINK("https://www.procyclingstats.com/search.php?term=PROGETTO+CICLISMO+-+RODENGO+S.+ASD","Cerca su PCS")</f>
        <v/>
      </c>
    </row>
    <row r="200">
      <c r="A200" t="n">
        <v>199</v>
      </c>
      <c r="B200" t="inlineStr">
        <is>
          <t>1050 BIKE TEAM</t>
        </is>
      </c>
      <c r="C200" t="inlineStr"/>
      <c r="D200">
        <f>HYPERLINK("https://www.procyclingstats.com/search.php?term=1050+BIKE+TEAM","Cerca su PCS")</f>
        <v/>
      </c>
    </row>
    <row r="201">
      <c r="A201" t="n">
        <v>200</v>
      </c>
      <c r="B201" t="inlineStr">
        <is>
          <t>TEAM FACT ACADEMY</t>
        </is>
      </c>
      <c r="C201" t="inlineStr"/>
      <c r="D201">
        <f>HYPERLINK("https://www.procyclingstats.com/search.php?term=TEAM+FACT+ACADEMY","Cerca su PCS")</f>
        <v/>
      </c>
    </row>
    <row r="202">
      <c r="A202" t="n">
        <v>201</v>
      </c>
      <c r="B202" t="inlineStr">
        <is>
          <t>GS BUTESE</t>
        </is>
      </c>
      <c r="C202" t="inlineStr"/>
      <c r="D202">
        <f>HYPERLINK("https://www.procyclingstats.com/search.php?term=GS+BUTESE","Cerca su PCS")</f>
        <v/>
      </c>
    </row>
    <row r="203">
      <c r="A203" t="n">
        <v>202</v>
      </c>
      <c r="B203" t="inlineStr">
        <is>
          <t>A.S.D.- V.C.MONTEBELLUNA</t>
        </is>
      </c>
      <c r="C203" t="inlineStr"/>
      <c r="D203">
        <f>HYPERLINK("https://www.procyclingstats.com/search.php?term=A.S.D.-+V.C.MONTEBELLUNA","Cerca su PCS")</f>
        <v/>
      </c>
    </row>
    <row r="204">
      <c r="A204" t="n">
        <v>203</v>
      </c>
      <c r="B204" t="inlineStr">
        <is>
          <t>PEDALE MARENESE GINO BARTALI</t>
        </is>
      </c>
      <c r="C204" t="inlineStr"/>
      <c r="D204">
        <f>HYPERLINK("https://www.procyclingstats.com/search.php?term=PEDALE+MARENESE+GINO+BARTALI","Cerca su PCS")</f>
        <v/>
      </c>
    </row>
    <row r="205">
      <c r="A205" t="n">
        <v>204</v>
      </c>
      <c r="B205" t="inlineStr">
        <is>
          <t>UC FOEN MICTU</t>
        </is>
      </c>
      <c r="C205" t="inlineStr"/>
      <c r="D205">
        <f>HYPERLINK("https://www.procyclingstats.com/search.php?term=UC+FOEN+MICTU","Cerca su PCS")</f>
        <v/>
      </c>
    </row>
    <row r="206">
      <c r="A206" t="n">
        <v>205</v>
      </c>
      <c r="B206" t="inlineStr">
        <is>
          <t>A.S.D. U.S. F. COPPI MONTECCHIO P.</t>
        </is>
      </c>
      <c r="C206" t="inlineStr"/>
      <c r="D206">
        <f>HYPERLINK("https://www.procyclingstats.com/search.php?term=A.S.D.+U.S.+F.+COPPI+MONTECCHIO+P.","Cerca su PCS")</f>
        <v/>
      </c>
    </row>
    <row r="207">
      <c r="A207" t="n">
        <v>206</v>
      </c>
      <c r="B207" t="inlineStr">
        <is>
          <t>SOC. SPORT.SANFIORESE</t>
        </is>
      </c>
      <c r="C207" t="inlineStr"/>
      <c r="D207">
        <f>HYPERLINK("https://www.procyclingstats.com/search.php?term=SOC.+SPORT.SANFIORESE","Cerca su PCS")</f>
        <v/>
      </c>
    </row>
    <row r="208">
      <c r="A208" t="n">
        <v>207</v>
      </c>
      <c r="B208" t="inlineStr">
        <is>
          <t>S. C. FONTANAFREDDA</t>
        </is>
      </c>
      <c r="C208" t="inlineStr"/>
      <c r="D208">
        <f>HYPERLINK("https://www.procyclingstats.com/search.php?term=S.+C.+FONTANAFREDDA","Cerca su PCS")</f>
        <v/>
      </c>
    </row>
    <row r="209">
      <c r="A209" t="n">
        <v>208</v>
      </c>
      <c r="B209" t="inlineStr">
        <is>
          <t>SPRINT VIDOR VALLATA ASD</t>
        </is>
      </c>
      <c r="C209" t="inlineStr"/>
      <c r="D209">
        <f>HYPERLINK("https://www.procyclingstats.com/search.php?term=SPRINT+VIDOR+VALLATA+ASD","Cerca su PCS")</f>
        <v/>
      </c>
    </row>
    <row r="210">
      <c r="A210" t="n">
        <v>209</v>
      </c>
      <c r="B210" t="inlineStr">
        <is>
          <t>G.S. CERNUSCHESE TINO GADDA A.S.D.</t>
        </is>
      </c>
      <c r="C210" t="inlineStr"/>
      <c r="D210">
        <f>HYPERLINK("https://www.procyclingstats.com/search.php?term=G.S.+CERNUSCHESE+TINO+GADDA+A.S.D.","Cerca su PCS")</f>
        <v/>
      </c>
    </row>
    <row r="211">
      <c r="A211" t="n">
        <v>210</v>
      </c>
      <c r="B211" t="inlineStr">
        <is>
          <t>KTM ACADEMY LE MARMOTTE</t>
        </is>
      </c>
      <c r="C211" t="inlineStr"/>
      <c r="D211">
        <f>HYPERLINK("https://www.procyclingstats.com/search.php?term=KTM+ACADEMY+LE+MARMOTTE","Cerca su PCS")</f>
        <v/>
      </c>
    </row>
    <row r="212">
      <c r="A212" t="n">
        <v>211</v>
      </c>
      <c r="B212" t="inlineStr">
        <is>
          <t>VAIANO BIKE</t>
        </is>
      </c>
      <c r="C212" t="inlineStr"/>
      <c r="D212">
        <f>HYPERLINK("https://www.procyclingstats.com/search.php?term=VAIANO+BIKE","Cerca su PCS")</f>
        <v/>
      </c>
    </row>
    <row r="213">
      <c r="A213" t="n">
        <v>212</v>
      </c>
      <c r="B213" t="inlineStr">
        <is>
          <t>S.S. STELLA ALPINA RENAZZO</t>
        </is>
      </c>
      <c r="C213" t="inlineStr"/>
      <c r="D213">
        <f>HYPERLINK("https://www.procyclingstats.com/search.php?term=S.S.+STELLA+ALPINA+RENAZZO","Cerca su PCS")</f>
        <v/>
      </c>
    </row>
    <row r="214">
      <c r="A214" t="n">
        <v>213</v>
      </c>
      <c r="B214" t="inlineStr">
        <is>
          <t>USD MONTECARLO CICLISMO</t>
        </is>
      </c>
      <c r="C214" t="inlineStr"/>
      <c r="D214">
        <f>HYPERLINK("https://www.procyclingstats.com/search.php?term=USD+MONTECARLO+CICLISMO","Cerca su PCS")</f>
        <v/>
      </c>
    </row>
    <row r="215">
      <c r="A215" t="n">
        <v>214</v>
      </c>
      <c r="B215" t="inlineStr">
        <is>
          <t>S.C. GASTONE NENCINI</t>
        </is>
      </c>
      <c r="C215" t="inlineStr"/>
      <c r="D215">
        <f>HYPERLINK("https://www.procyclingstats.com/search.php?term=S.C.+GASTONE+NENCINI","Cerca su PCS")</f>
        <v/>
      </c>
    </row>
    <row r="216">
      <c r="A216" t="n">
        <v>215</v>
      </c>
      <c r="B216" t="inlineStr">
        <is>
          <t>PEDALE TOSCANO PONTICINO</t>
        </is>
      </c>
      <c r="C216" t="inlineStr"/>
      <c r="D216">
        <f>HYPERLINK("https://www.procyclingstats.com/search.php?term=PEDALE+TOSCANO+PONTICINO","Cerca su PCS")</f>
        <v/>
      </c>
    </row>
    <row r="217">
      <c r="A217" t="n">
        <v>216</v>
      </c>
      <c r="B217" t="inlineStr">
        <is>
          <t>PIEMONTE</t>
        </is>
      </c>
      <c r="C217" t="inlineStr"/>
      <c r="D217">
        <f>HYPERLINK("https://www.procyclingstats.com/search.php?term=PIEMONTE","Cerca su PCS")</f>
        <v/>
      </c>
    </row>
    <row r="218">
      <c r="A218" t="n">
        <v>217</v>
      </c>
      <c r="B218" t="inlineStr">
        <is>
          <t>VALLE D'AOSTA</t>
        </is>
      </c>
      <c r="C218" t="inlineStr"/>
      <c r="D218">
        <f>HYPERLINK("https://www.procyclingstats.com/search.php?term=VALLE+D'AOSTA","Cerca su PCS")</f>
        <v/>
      </c>
    </row>
    <row r="219">
      <c r="A219" t="n">
        <v>218</v>
      </c>
      <c r="B219" t="inlineStr">
        <is>
          <t>MASTROMARCO FC NIBALI</t>
        </is>
      </c>
      <c r="C219" t="inlineStr"/>
      <c r="D219">
        <f>HYPERLINK("https://www.procyclingstats.com/search.php?term=MASTROMARCO+FC+NIBALI","Cerca su PCS")</f>
        <v/>
      </c>
    </row>
    <row r="220">
      <c r="A220" t="n">
        <v>219</v>
      </c>
      <c r="B220" t="inlineStr">
        <is>
          <t>ASD SWATT CLUB</t>
        </is>
      </c>
      <c r="C220" t="inlineStr"/>
      <c r="D220">
        <f>HYPERLINK("https://www.procyclingstats.com/search.php?term=ASD+SWATT+CLUB","Cerca su PCS")</f>
        <v/>
      </c>
    </row>
    <row r="221">
      <c r="A221" t="n">
        <v>220</v>
      </c>
      <c r="B221" t="inlineStr">
        <is>
          <t>TEAM WSA KTM GRAZ</t>
        </is>
      </c>
      <c r="C221" t="inlineStr"/>
      <c r="D221">
        <f>HYPERLINK("https://www.procyclingstats.com/search.php?term=TEAM+WSA+KTM+GRAZ","Cerca su PCS")</f>
        <v/>
      </c>
    </row>
    <row r="222">
      <c r="A222" t="n">
        <v>221</v>
      </c>
      <c r="B222" t="inlineStr">
        <is>
          <t>POOL CANTU' GB TEAM A.S.D.</t>
        </is>
      </c>
      <c r="C222" t="inlineStr"/>
      <c r="D222">
        <f>HYPERLINK("https://www.procyclingstats.com/search.php?term=POOL+CANTU'+GB+TEAM+A.S.D.","Cerca su PCS")</f>
        <v/>
      </c>
    </row>
    <row r="223">
      <c r="A223" t="n">
        <v>222</v>
      </c>
      <c r="B223" t="inlineStr">
        <is>
          <t>S. C. CENE A. S. D.</t>
        </is>
      </c>
      <c r="C223" t="inlineStr"/>
      <c r="D223">
        <f>HYPERLINK("https://www.procyclingstats.com/search.php?term=S.+C.+CENE+A.+S.+D.","Cerca su PCS")</f>
        <v/>
      </c>
    </row>
    <row r="224">
      <c r="A224" t="n">
        <v>223</v>
      </c>
      <c r="B224" t="inlineStr">
        <is>
          <t>XDS ASTANA DEVELOPMENT TEAM</t>
        </is>
      </c>
      <c r="C224" t="inlineStr"/>
      <c r="D224">
        <f>HYPERLINK("https://www.procyclingstats.com/search.php?term=XDS+ASTANA+DEVELOPMENT+TEAM","Cerca su PCS")</f>
        <v/>
      </c>
    </row>
    <row r="225">
      <c r="A225" t="n">
        <v>224</v>
      </c>
      <c r="B225" t="inlineStr">
        <is>
          <t>SOUDAL QUICK-STEP DEVO TEAM</t>
        </is>
      </c>
      <c r="C225" t="inlineStr"/>
      <c r="D225">
        <f>HYPERLINK("https://www.procyclingstats.com/search.php?term=SOUDAL+QUICK-STEP+DEVO+TEAM","Cerca su PCS")</f>
        <v/>
      </c>
    </row>
    <row r="226">
      <c r="A226" t="n">
        <v>225</v>
      </c>
      <c r="B226" t="inlineStr">
        <is>
          <t>EQUIPE CORBETTESE</t>
        </is>
      </c>
      <c r="C226" t="inlineStr"/>
      <c r="D226">
        <f>HYPERLINK("https://www.procyclingstats.com/search.php?term=EQUIPE+CORBETTESE","Cerca su PCS")</f>
        <v/>
      </c>
    </row>
    <row r="227">
      <c r="A227" t="n">
        <v>226</v>
      </c>
      <c r="B227" t="inlineStr">
        <is>
          <t>WWV HAGENS BERMAN - JAYCO</t>
        </is>
      </c>
      <c r="C227" t="inlineStr"/>
      <c r="D227">
        <f>HYPERLINK("https://www.procyclingstats.com/search.php?term=WWV+HAGENS+BERMAN+-+JAYCO","Cerca su PCS")</f>
        <v/>
      </c>
    </row>
    <row r="228">
      <c r="A228" t="n">
        <v>227</v>
      </c>
      <c r="B228" t="inlineStr">
        <is>
          <t>LIDL - TREK</t>
        </is>
      </c>
      <c r="C228" t="inlineStr"/>
      <c r="D228">
        <f>HYPERLINK("https://www.procyclingstats.com/search.php?term=LIDL+-+TREK","Cerca su PCS")</f>
        <v/>
      </c>
    </row>
    <row r="229">
      <c r="A229" t="n">
        <v>228</v>
      </c>
      <c r="B229" t="inlineStr">
        <is>
          <t>FIAMME ORO</t>
        </is>
      </c>
      <c r="C229" t="inlineStr"/>
      <c r="D229">
        <f>HYPERLINK("https://www.procyclingstats.com/search.php?term=FIAMME+ORO","Cerca su PCS")</f>
        <v/>
      </c>
    </row>
    <row r="230">
      <c r="A230" t="n">
        <v>229</v>
      </c>
      <c r="B230" t="inlineStr">
        <is>
          <t>GS FIAMME AZZURRE</t>
        </is>
      </c>
      <c r="C230" t="inlineStr"/>
      <c r="D230">
        <f>HYPERLINK("https://www.procyclingstats.com/search.php?term=GS+FIAMME+AZZURRE","Cerca su PCS")</f>
        <v/>
      </c>
    </row>
    <row r="231">
      <c r="A231" t="n">
        <v>230</v>
      </c>
      <c r="B231" t="inlineStr">
        <is>
          <t>LABORAL KUTXA - FUNDACION EUSKADI</t>
        </is>
      </c>
      <c r="C231" t="inlineStr"/>
      <c r="D231">
        <f>HYPERLINK("https://www.procyclingstats.com/search.php?term=LABORAL+KUTXA+-+FUNDACION+EUSKADI","Cerca su PCS")</f>
        <v/>
      </c>
    </row>
    <row r="232">
      <c r="A232" t="n">
        <v>231</v>
      </c>
      <c r="B232" t="inlineStr">
        <is>
          <t>MOVISTAR TEAM</t>
        </is>
      </c>
      <c r="C232" t="inlineStr"/>
      <c r="D232">
        <f>HYPERLINK("https://www.procyclingstats.com/search.php?term=MOVISTAR+TEAM","Cerca su PCS")</f>
        <v/>
      </c>
    </row>
    <row r="233">
      <c r="A233" t="n">
        <v>232</v>
      </c>
      <c r="B233" t="inlineStr">
        <is>
          <t>ROTOGAL GUADENSE</t>
        </is>
      </c>
      <c r="C233" t="inlineStr"/>
      <c r="D233">
        <f>HYPERLINK("https://www.procyclingstats.com/search.php?term=ROTOGAL+GUADENSE","Cerca su PCS")</f>
        <v/>
      </c>
    </row>
    <row r="234">
      <c r="A234" t="n">
        <v>233</v>
      </c>
      <c r="B234" t="inlineStr">
        <is>
          <t>CASANO</t>
        </is>
      </c>
      <c r="C234" t="inlineStr"/>
      <c r="D234">
        <f>HYPERLINK("https://www.procyclingstats.com/search.php?term=CASANO","Cerca su PCS")</f>
        <v/>
      </c>
    </row>
    <row r="235">
      <c r="A235" t="n">
        <v>234</v>
      </c>
      <c r="B235" t="inlineStr">
        <is>
          <t>E' VALTELLINA PEDALE MORBEGNESE</t>
        </is>
      </c>
      <c r="C235" t="inlineStr"/>
      <c r="D235">
        <f>HYPERLINK("https://www.procyclingstats.com/search.php?term=E'+VALTELLINA+PEDALE+MORBEGNESE","Cerca su PCS")</f>
        <v/>
      </c>
    </row>
    <row r="236">
      <c r="A236" t="n">
        <v>235</v>
      </c>
      <c r="B236" t="inlineStr">
        <is>
          <t>TEAM GUERRINI SENAGHESE</t>
        </is>
      </c>
      <c r="C236" t="inlineStr"/>
      <c r="D236">
        <f>HYPERLINK("https://www.procyclingstats.com/search.php?term=TEAM+GUERRINI+SENAGHESE","Cerca su PCS")</f>
        <v/>
      </c>
    </row>
    <row r="237">
      <c r="A237" t="n">
        <v>236</v>
      </c>
      <c r="B237" t="inlineStr">
        <is>
          <t>G.S. MASSI' SUPERMERCATI PONTIDA</t>
        </is>
      </c>
      <c r="C237" t="inlineStr"/>
      <c r="D237">
        <f>HYPERLINK("https://www.procyclingstats.com/search.php?term=G.S.+MASSI'+SUPERMERCATI+PONTIDA","Cerca su PCS")</f>
        <v/>
      </c>
    </row>
    <row r="238">
      <c r="A238" t="n">
        <v>237</v>
      </c>
      <c r="B238" t="inlineStr">
        <is>
          <t>U.C.A.B. 1925 BIELLA - SEMPERLUX</t>
        </is>
      </c>
      <c r="C238" t="inlineStr"/>
      <c r="D238">
        <f>HYPERLINK("https://www.procyclingstats.com/search.php?term=U.C.A.B.+1925+BIELLA+-+SEMPERLUX","Cerca su PCS")</f>
        <v/>
      </c>
    </row>
    <row r="239">
      <c r="A239" t="n">
        <v>238</v>
      </c>
      <c r="B239" t="inlineStr">
        <is>
          <t>U.C. GUSPINI A.S.D.</t>
        </is>
      </c>
      <c r="C239" t="inlineStr"/>
      <c r="D239">
        <f>HYPERLINK("https://www.procyclingstats.com/search.php?term=U.C.+GUSPINI+A.S.D.","Cerca su PCS")</f>
        <v/>
      </c>
    </row>
    <row r="240">
      <c r="A240" t="n">
        <v>239</v>
      </c>
      <c r="B240" t="inlineStr">
        <is>
          <t>JU GREEN A.S.D. GORLA MINORE</t>
        </is>
      </c>
      <c r="C240" t="inlineStr"/>
      <c r="D240">
        <f>HYPERLINK("https://www.procyclingstats.com/search.php?term=JU+GREEN+A.S.D.+GORLA+MINORE","Cerca su PCS")</f>
        <v/>
      </c>
    </row>
    <row r="241">
      <c r="A241" t="n">
        <v>240</v>
      </c>
      <c r="B241" t="inlineStr">
        <is>
          <t>MARY J SWEET ANGEL ASD</t>
        </is>
      </c>
      <c r="C241" t="inlineStr"/>
      <c r="D241">
        <f>HYPERLINK("https://www.procyclingstats.com/search.php?term=MARY+J+SWEET+ANGEL+ASD","Cerca su PCS")</f>
        <v/>
      </c>
    </row>
    <row r="242">
      <c r="A242" t="n">
        <v>241</v>
      </c>
      <c r="B242" t="inlineStr">
        <is>
          <t>SAN MINIATO CICLISMO A.S.D.</t>
        </is>
      </c>
      <c r="C242" t="inlineStr"/>
      <c r="D242">
        <f>HYPERLINK("https://www.procyclingstats.com/search.php?term=SAN+MINIATO+CICLISMO+A.S.D.","Cerca su PCS")</f>
        <v/>
      </c>
    </row>
    <row r="243">
      <c r="A243" t="n">
        <v>242</v>
      </c>
      <c r="B243" t="inlineStr">
        <is>
          <t>CICLISTICA DRO</t>
        </is>
      </c>
      <c r="C243" t="inlineStr"/>
      <c r="D243">
        <f>HYPERLINK("https://www.procyclingstats.com/search.php?term=CICLISTICA+DRO","Cerca su PCS")</f>
        <v/>
      </c>
    </row>
    <row r="244">
      <c r="A244" t="n">
        <v>243</v>
      </c>
      <c r="B244" t="inlineStr">
        <is>
          <t>A.S.D. VELODROME MARCON</t>
        </is>
      </c>
      <c r="C244" t="inlineStr"/>
      <c r="D244">
        <f>HYPERLINK("https://www.procyclingstats.com/search.php?term=A.S.D.+VELODROME+MARCON","Cerca su PCS")</f>
        <v/>
      </c>
    </row>
    <row r="245">
      <c r="A245" t="n">
        <v>244</v>
      </c>
      <c r="B245" t="inlineStr">
        <is>
          <t>IL PIRATA VANGI OTC</t>
        </is>
      </c>
      <c r="C245" t="inlineStr"/>
      <c r="D245">
        <f>HYPERLINK("https://www.procyclingstats.com/search.php?term=IL+PIRATA+VANGI+OTC","Cerca su PCS")</f>
        <v/>
      </c>
    </row>
    <row r="246">
      <c r="A246" t="n">
        <v>245</v>
      </c>
      <c r="B246" t="inlineStr">
        <is>
          <t>ASD MORENO DI BIASE</t>
        </is>
      </c>
      <c r="C246" t="inlineStr"/>
      <c r="D246">
        <f>HYPERLINK("https://www.procyclingstats.com/search.php?term=ASD+MORENO+DI+BIASE","Cerca su PCS")</f>
        <v/>
      </c>
    </row>
    <row r="247">
      <c r="A247" t="n">
        <v>246</v>
      </c>
      <c r="B247" t="inlineStr">
        <is>
          <t>I CINGHIALI EVO</t>
        </is>
      </c>
      <c r="C247" t="inlineStr"/>
      <c r="D247">
        <f>HYPERLINK("https://www.procyclingstats.com/search.php?term=I+CINGHIALI+EVO","Cerca su PCS")</f>
        <v/>
      </c>
    </row>
    <row r="248">
      <c r="A248" t="n">
        <v>247</v>
      </c>
      <c r="B248" t="inlineStr">
        <is>
          <t>TEAM BIKE SIRACUSA</t>
        </is>
      </c>
      <c r="C248" t="inlineStr"/>
      <c r="D248">
        <f>HYPERLINK("https://www.procyclingstats.com/search.php?term=TEAM+BIKE+SIRACUSA","Cerca su PCS")</f>
        <v/>
      </c>
    </row>
    <row r="249">
      <c r="A249" t="n">
        <v>248</v>
      </c>
      <c r="B249" t="inlineStr">
        <is>
          <t>A.S.D. AF ARREDAMENTI TEAM CICLING</t>
        </is>
      </c>
      <c r="C249" t="inlineStr"/>
      <c r="D249">
        <f>HYPERLINK("https://www.procyclingstats.com/search.php?term=A.S.D.+AF+ARREDAMENTI+TEAM+CICLING","Cerca su PCS")</f>
        <v/>
      </c>
    </row>
    <row r="250">
      <c r="A250" t="n">
        <v>249</v>
      </c>
      <c r="B250" t="inlineStr">
        <is>
          <t>SEI SPORT</t>
        </is>
      </c>
      <c r="C250" t="inlineStr"/>
      <c r="D250">
        <f>HYPERLINK("https://www.procyclingstats.com/search.php?term=SEI+SPORT","Cerca su PCS")</f>
        <v/>
      </c>
    </row>
    <row r="251">
      <c r="A251" t="n">
        <v>250</v>
      </c>
      <c r="B251" t="inlineStr">
        <is>
          <t>FOLIGNO CYCLING TEAM ASD</t>
        </is>
      </c>
      <c r="C251" t="inlineStr"/>
      <c r="D251">
        <f>HYPERLINK("https://www.procyclingstats.com/search.php?term=FOLIGNO+CYCLING+TEAM+ASD","Cerca su PCS")</f>
        <v/>
      </c>
    </row>
    <row r="252">
      <c r="A252" t="n">
        <v>251</v>
      </c>
      <c r="B252" t="inlineStr">
        <is>
          <t>ASD FUSION BIKE</t>
        </is>
      </c>
      <c r="C252" t="inlineStr"/>
      <c r="D252">
        <f>HYPERLINK("https://www.procyclingstats.com/search.php?term=ASD+FUSION+BIKE","Cerca su PCS")</f>
        <v/>
      </c>
    </row>
    <row r="253">
      <c r="A253" t="n">
        <v>252</v>
      </c>
      <c r="B253" t="inlineStr">
        <is>
          <t>ASD GUBBIO CICLISMO MOCAIANA</t>
        </is>
      </c>
      <c r="C253" t="inlineStr"/>
      <c r="D253">
        <f>HYPERLINK("https://www.procyclingstats.com/search.php?term=ASD+GUBBIO+CICLISMO+MOCAIANA","Cerca su PCS")</f>
        <v/>
      </c>
    </row>
    <row r="254">
      <c r="A254" t="n">
        <v>253</v>
      </c>
      <c r="B254" t="inlineStr">
        <is>
          <t>ASD TEAM MMBIKE ANDRIA RESTO AL SUD</t>
        </is>
      </c>
      <c r="C254" t="inlineStr"/>
      <c r="D254">
        <f>HYPERLINK("https://www.procyclingstats.com/search.php?term=ASD+TEAM+MMBIKE+ANDRIA+RESTO+AL+SUD","Cerca su PCS")</f>
        <v/>
      </c>
    </row>
    <row r="255">
      <c r="A255" t="n">
        <v>254</v>
      </c>
      <c r="B255" t="inlineStr">
        <is>
          <t>VELO CLUB SARROCH</t>
        </is>
      </c>
      <c r="C255" t="inlineStr"/>
      <c r="D255">
        <f>HYPERLINK("https://www.procyclingstats.com/search.php?term=VELO+CLUB+SARROCH","Cerca su PCS")</f>
        <v/>
      </c>
    </row>
    <row r="256">
      <c r="A256" t="n">
        <v>255</v>
      </c>
      <c r="B256" t="inlineStr">
        <is>
          <t>G.S. PEDALE SINISCOLESE</t>
        </is>
      </c>
      <c r="C256" t="inlineStr"/>
      <c r="D256">
        <f>HYPERLINK("https://www.procyclingstats.com/search.php?term=G.S.+PEDALE+SINISCOLESE","Cerca su PCS")</f>
        <v/>
      </c>
    </row>
    <row r="257">
      <c r="A257" t="n">
        <v>256</v>
      </c>
      <c r="B257" t="inlineStr">
        <is>
          <t>RACING TEAM AGRIGENTO</t>
        </is>
      </c>
      <c r="C257" t="inlineStr"/>
      <c r="D257">
        <f>HYPERLINK("https://www.procyclingstats.com/search.php?term=RACING+TEAM+AGRIGENTO","Cerca su PCS")</f>
        <v/>
      </c>
    </row>
    <row r="258">
      <c r="A258" t="n">
        <v>257</v>
      </c>
      <c r="B258" t="inlineStr">
        <is>
          <t>STAR CYCLING LAB</t>
        </is>
      </c>
      <c r="C258" t="inlineStr"/>
      <c r="D258">
        <f>HYPERLINK("https://www.procyclingstats.com/search.php?term=STAR+CYCLING+LAB","Cerca su PCS")</f>
        <v/>
      </c>
    </row>
    <row r="259">
      <c r="A259" t="n">
        <v>258</v>
      </c>
      <c r="B259" t="inlineStr">
        <is>
          <t>A.S.D. MONGIBELLO MTB TEAM</t>
        </is>
      </c>
      <c r="C259" t="inlineStr"/>
      <c r="D259">
        <f>HYPERLINK("https://www.procyclingstats.com/search.php?term=A.S.D.+MONGIBELLO+MTB+TEAM","Cerca su PCS")</f>
        <v/>
      </c>
    </row>
    <row r="260">
      <c r="A260" t="n">
        <v>259</v>
      </c>
      <c r="B260" t="inlineStr">
        <is>
          <t>SC POTENTIA-RINASCITA ASD</t>
        </is>
      </c>
      <c r="C260" t="inlineStr"/>
      <c r="D260">
        <f>HYPERLINK("https://www.procyclingstats.com/search.php?term=SC+POTENTIA-RINASCITA+ASD","Cerca su PCS")</f>
        <v/>
      </c>
    </row>
    <row r="261">
      <c r="A261" t="n">
        <v>260</v>
      </c>
      <c r="B261" t="inlineStr">
        <is>
          <t>GS PIANELLO</t>
        </is>
      </c>
      <c r="C261" t="inlineStr"/>
      <c r="D261">
        <f>HYPERLINK("https://www.procyclingstats.com/search.php?term=GS+PIANELLO","Cerca su PCS")</f>
        <v/>
      </c>
    </row>
    <row r="262">
      <c r="A262" t="n">
        <v>261</v>
      </c>
      <c r="B262" t="inlineStr">
        <is>
          <t>A.S.D CICLI TONTI CATTOLICA</t>
        </is>
      </c>
      <c r="C262" t="inlineStr"/>
      <c r="D262">
        <f>HYPERLINK("https://www.procyclingstats.com/search.php?term=A.S.D+CICLI+TONTI+CATTOLICA","Cerca su PCS")</f>
        <v/>
      </c>
    </row>
    <row r="263">
      <c r="A263" t="n">
        <v>262</v>
      </c>
      <c r="B263" t="inlineStr">
        <is>
          <t>G.S. AVIS BIKE AMELIA</t>
        </is>
      </c>
      <c r="C263" t="inlineStr"/>
      <c r="D263">
        <f>HYPERLINK("https://www.procyclingstats.com/search.php?term=G.S.+AVIS+BIKE+AMELIA","Cerca su PCS")</f>
        <v/>
      </c>
    </row>
    <row r="264">
      <c r="A264" t="n">
        <v>263</v>
      </c>
      <c r="B264" t="inlineStr">
        <is>
          <t>G.S. ALTO ADIGE - SUDTIROLPOST</t>
        </is>
      </c>
      <c r="C264" t="inlineStr"/>
      <c r="D264">
        <f>HYPERLINK("https://www.procyclingstats.com/search.php?term=G.S.+ALTO+ADIGE+-+SUDTIROLPOST","Cerca su PCS")</f>
        <v/>
      </c>
    </row>
    <row r="265">
      <c r="A265" t="n">
        <v>264</v>
      </c>
      <c r="B265" t="inlineStr">
        <is>
          <t>RICHEZE ACADEMY</t>
        </is>
      </c>
      <c r="C265" t="inlineStr"/>
      <c r="D265">
        <f>HYPERLINK("https://www.procyclingstats.com/search.php?term=RICHEZE+ACADEMY","Cerca su PCS")</f>
        <v/>
      </c>
    </row>
    <row r="266">
      <c r="A266" t="n">
        <v>265</v>
      </c>
      <c r="B266" t="inlineStr">
        <is>
          <t>U.P.O.L. PEDALE LUNGAVILLA A.S.D.</t>
        </is>
      </c>
      <c r="C266" t="inlineStr"/>
      <c r="D266">
        <f>HYPERLINK("https://www.procyclingstats.com/search.php?term=U.P.O.L.+PEDALE+LUNGAVILLA+A.S.D.","Cerca su PCS")</f>
        <v/>
      </c>
    </row>
    <row r="267">
      <c r="A267" t="n">
        <v>266</v>
      </c>
      <c r="B267" t="inlineStr">
        <is>
          <t>U.C. SANGIULIANESE</t>
        </is>
      </c>
      <c r="C267" t="inlineStr"/>
      <c r="D267">
        <f>HYPERLINK("https://www.procyclingstats.com/search.php?term=U.C.+SANGIULIANESE","Cerca su PCS")</f>
        <v/>
      </c>
    </row>
    <row r="268">
      <c r="A268" t="n">
        <v>267</v>
      </c>
      <c r="B268" t="inlineStr">
        <is>
          <t>LOCO BIKERS</t>
        </is>
      </c>
      <c r="C268" t="inlineStr"/>
      <c r="D268">
        <f>HYPERLINK("https://www.procyclingstats.com/search.php?term=LOCO+BIKERS","Cerca su PCS")</f>
        <v/>
      </c>
    </row>
    <row r="269">
      <c r="A269" t="n">
        <v>268</v>
      </c>
      <c r="B269" t="inlineStr">
        <is>
          <t>TEAM LOGISTICA AMBIENTALE</t>
        </is>
      </c>
      <c r="C269" t="inlineStr"/>
      <c r="D269">
        <f>HYPERLINK("https://www.procyclingstats.com/search.php?term=TEAM+LOGISTICA+AMBIENTALE","Cerca su PCS")</f>
        <v/>
      </c>
    </row>
    <row r="270">
      <c r="A270" t="n">
        <v>269</v>
      </c>
      <c r="B270" t="inlineStr">
        <is>
          <t>GCD PEDALE MANZANESE</t>
        </is>
      </c>
      <c r="C270" t="inlineStr"/>
      <c r="D270">
        <f>HYPERLINK("https://www.procyclingstats.com/search.php?term=GCD+PEDALE+MANZANESE","Cerca su PCS")</f>
        <v/>
      </c>
    </row>
    <row r="271">
      <c r="A271" t="n">
        <v>270</v>
      </c>
      <c r="B271" t="inlineStr">
        <is>
          <t>A.S.D. PEDALE RONCHESE</t>
        </is>
      </c>
      <c r="C271" t="inlineStr"/>
      <c r="D271">
        <f>HYPERLINK("https://www.procyclingstats.com/search.php?term=A.S.D.+PEDALE+RONCHESE","Cerca su PCS")</f>
        <v/>
      </c>
    </row>
    <row r="272">
      <c r="A272" t="n">
        <v>271</v>
      </c>
      <c r="B272" t="inlineStr">
        <is>
          <t>ASD LIB.GRADISCA</t>
        </is>
      </c>
      <c r="C272" t="inlineStr"/>
      <c r="D272">
        <f>HYPERLINK("https://www.procyclingstats.com/search.php?term=ASD+LIB.GRADISCA","Cerca su PCS")</f>
        <v/>
      </c>
    </row>
    <row r="273">
      <c r="A273" t="n">
        <v>272</v>
      </c>
      <c r="B273" t="inlineStr">
        <is>
          <t>G.S. CICLI FIORIN CYCLING TEAM ASD</t>
        </is>
      </c>
      <c r="C273" t="inlineStr"/>
      <c r="D273">
        <f>HYPERLINK("https://www.procyclingstats.com/search.php?term=G.S.+CICLI+FIORIN+CYCLING+TEAM+ASD","Cerca su PCS")</f>
        <v/>
      </c>
    </row>
    <row r="274">
      <c r="A274" t="n">
        <v>273</v>
      </c>
      <c r="B274" t="inlineStr">
        <is>
          <t>ITALIA</t>
        </is>
      </c>
      <c r="C274" t="inlineStr"/>
      <c r="D274">
        <f>HYPERLINK("https://www.procyclingstats.com/search.php?term=ITALIA","Cerca su PCS")</f>
        <v/>
      </c>
    </row>
    <row r="275">
      <c r="A275" t="n">
        <v>274</v>
      </c>
      <c r="B275" t="inlineStr">
        <is>
          <t>MOVISTAR TEAM ACADEMY</t>
        </is>
      </c>
      <c r="C275" t="inlineStr"/>
      <c r="D275">
        <f>HYPERLINK("https://www.procyclingstats.com/search.php?term=MOVISTAR+TEAM+ACADEMY","Cerca su PCS")</f>
        <v/>
      </c>
    </row>
    <row r="276">
      <c r="A276" t="n">
        <v>275</v>
      </c>
      <c r="B276" t="inlineStr">
        <is>
          <t>LAZIO</t>
        </is>
      </c>
      <c r="C276" t="inlineStr"/>
      <c r="D276">
        <f>HYPERLINK("https://www.procyclingstats.com/search.php?term=LAZIO","Cerca su PCS")</f>
        <v/>
      </c>
    </row>
    <row r="277">
      <c r="A277" t="n">
        <v>276</v>
      </c>
      <c r="B277" t="inlineStr">
        <is>
          <t>G.S. BAREGGESE A.S.D</t>
        </is>
      </c>
      <c r="C277" t="inlineStr"/>
      <c r="D277">
        <f>HYPERLINK("https://www.procyclingstats.com/search.php?term=G.S.+BAREGGESE+A.S.D","Cerca su PCS")</f>
        <v/>
      </c>
    </row>
    <row r="278">
      <c r="A278" t="n">
        <v>277</v>
      </c>
      <c r="B278" t="inlineStr">
        <is>
          <t>B-TEAM CYCLING PROJECT</t>
        </is>
      </c>
      <c r="C278" t="inlineStr"/>
      <c r="D278">
        <f>HYPERLINK("https://www.procyclingstats.com/search.php?term=B-TEAM+CYCLING+PROJECT","Cerca su PCS")</f>
        <v/>
      </c>
    </row>
    <row r="279">
      <c r="A279" t="n">
        <v>278</v>
      </c>
      <c r="B279" t="inlineStr">
        <is>
          <t>ASD STREGONE VOLANTE</t>
        </is>
      </c>
      <c r="C279" t="inlineStr"/>
      <c r="D279">
        <f>HYPERLINK("https://www.procyclingstats.com/search.php?term=ASD+STREGONE+VOLANTE","Cerca su PCS")</f>
        <v/>
      </c>
    </row>
    <row r="280">
      <c r="A280" t="n">
        <v>279</v>
      </c>
      <c r="B280" t="inlineStr">
        <is>
          <t>SIRACUSA ACADEMY CYCLING</t>
        </is>
      </c>
      <c r="C280" t="inlineStr"/>
      <c r="D280">
        <f>HYPERLINK("https://www.procyclingstats.com/search.php?term=SIRACUSA+ACADEMY+CYCLING","Cerca su PCS")</f>
        <v/>
      </c>
    </row>
    <row r="281">
      <c r="A281" t="n">
        <v>280</v>
      </c>
      <c r="B281" t="inlineStr">
        <is>
          <t>MEBLO JOGI PRO-CONCRETE</t>
        </is>
      </c>
      <c r="C281" t="inlineStr"/>
      <c r="D281">
        <f>HYPERLINK("https://www.procyclingstats.com/search.php?term=MEBLO+JOGI+PRO-CONCRETE","Cerca su PCS")</f>
        <v/>
      </c>
    </row>
    <row r="282">
      <c r="A282" t="n">
        <v>281</v>
      </c>
      <c r="B282" t="inlineStr">
        <is>
          <t>CICLO TEAM TROPOVCI</t>
        </is>
      </c>
      <c r="C282" t="inlineStr"/>
      <c r="D282">
        <f>HYPERLINK("https://www.procyclingstats.com/search.php?term=CICLO+TEAM+TROPOVCI","Cerca su PCS")</f>
        <v/>
      </c>
    </row>
    <row r="283">
      <c r="A283" t="n">
        <v>282</v>
      </c>
      <c r="B283" t="inlineStr">
        <is>
          <t>POGI TEAM UAE GENERALI</t>
        </is>
      </c>
      <c r="C283" t="inlineStr"/>
      <c r="D283">
        <f>HYPERLINK("https://www.procyclingstats.com/search.php?term=POGI+TEAM+UAE+GENERALI","Cerca su PCS")</f>
        <v/>
      </c>
    </row>
    <row r="284">
      <c r="A284" t="n">
        <v>283</v>
      </c>
      <c r="B284" t="inlineStr">
        <is>
          <t>SS AQUILA</t>
        </is>
      </c>
      <c r="C284" t="inlineStr"/>
      <c r="D284">
        <f>HYPERLINK("https://www.procyclingstats.com/search.php?term=SS+AQUILA","Cerca su PCS")</f>
        <v/>
      </c>
    </row>
    <row r="285">
      <c r="A285" t="n">
        <v>284</v>
      </c>
      <c r="B285" t="inlineStr">
        <is>
          <t>TIRANO BIKE</t>
        </is>
      </c>
      <c r="C285" t="inlineStr"/>
      <c r="D285">
        <f>HYPERLINK("https://www.procyclingstats.com/search.php?term=TIRANO+BIKE","Cerca su PCS")</f>
        <v/>
      </c>
    </row>
    <row r="286">
      <c r="A286" t="n">
        <v>285</v>
      </c>
      <c r="B286" t="inlineStr">
        <is>
          <t>CICLI PERACCHI SOVERE A.S.D.</t>
        </is>
      </c>
      <c r="C286" t="inlineStr"/>
      <c r="D286">
        <f>HYPERLINK("https://www.procyclingstats.com/search.php?term=CICLI+PERACCHI+SOVERE+A.S.D.","Cerca su PCS")</f>
        <v/>
      </c>
    </row>
    <row r="287">
      <c r="A287" t="n">
        <v>286</v>
      </c>
      <c r="B287" t="inlineStr">
        <is>
          <t>A.S.D. BELVEDERE-CICLONE</t>
        </is>
      </c>
      <c r="C287" t="inlineStr"/>
      <c r="D287">
        <f>HYPERLINK("https://www.procyclingstats.com/search.php?term=A.S.D.+BELVEDERE-CICLONE","Cerca su PCS")</f>
        <v/>
      </c>
    </row>
    <row r="288">
      <c r="A288" t="n">
        <v>287</v>
      </c>
      <c r="B288" t="inlineStr">
        <is>
          <t>A.S.D. TEAM EXTREME 2000</t>
        </is>
      </c>
      <c r="C288" t="inlineStr"/>
      <c r="D288">
        <f>HYPERLINK("https://www.procyclingstats.com/search.php?term=A.S.D.+TEAM+EXTREME+2000","Cerca su PCS")</f>
        <v/>
      </c>
    </row>
    <row r="289">
      <c r="A289" t="n">
        <v>288</v>
      </c>
      <c r="B289" t="inlineStr">
        <is>
          <t>KD SLOGA 1902 IDRIJA</t>
        </is>
      </c>
      <c r="C289" t="inlineStr"/>
      <c r="D289">
        <f>HYPERLINK("https://www.procyclingstats.com/search.php?term=KD+SLOGA+1902+IDRIJA","Cerca su PCS")</f>
        <v/>
      </c>
    </row>
    <row r="290">
      <c r="A290" t="n">
        <v>289</v>
      </c>
      <c r="B290" t="inlineStr">
        <is>
          <t>KK PANTAL</t>
        </is>
      </c>
      <c r="C290" t="inlineStr"/>
      <c r="D290">
        <f>HYPERLINK("https://www.procyclingstats.com/search.php?term=KK+PANTAL","Cerca su PCS")</f>
        <v/>
      </c>
    </row>
    <row r="291">
      <c r="A291" t="n">
        <v>290</v>
      </c>
      <c r="B291" t="inlineStr">
        <is>
          <t>V.C. EPOREDIESE CICLI TESSIORE</t>
        </is>
      </c>
      <c r="C291" t="inlineStr"/>
      <c r="D291">
        <f>HYPERLINK("https://www.procyclingstats.com/search.php?term=V.C.+EPOREDIESE+CICLI+TESSIORE","Cerca su PCS")</f>
        <v/>
      </c>
    </row>
    <row r="292">
      <c r="A292" t="n">
        <v>291</v>
      </c>
      <c r="B292" t="inlineStr">
        <is>
          <t>S.C.SAN FELICE A.S.D.</t>
        </is>
      </c>
      <c r="C292" t="inlineStr"/>
      <c r="D292">
        <f>HYPERLINK("https://www.procyclingstats.com/search.php?term=S.C.SAN+FELICE+A.S.D.","Cerca su PCS")</f>
        <v/>
      </c>
    </row>
    <row r="293">
      <c r="A293" t="n">
        <v>292</v>
      </c>
      <c r="B293" t="inlineStr">
        <is>
          <t>OROBICI</t>
        </is>
      </c>
      <c r="C293" t="inlineStr"/>
      <c r="D293">
        <f>HYPERLINK("https://www.procyclingstats.com/search.php?term=OROBICI","Cerca su PCS")</f>
        <v/>
      </c>
    </row>
    <row r="294">
      <c r="A294" t="n">
        <v>293</v>
      </c>
      <c r="B294" t="inlineStr">
        <is>
          <t>US CARBONATE ASD</t>
        </is>
      </c>
      <c r="C294" t="inlineStr"/>
      <c r="D294">
        <f>HYPERLINK("https://www.procyclingstats.com/search.php?term=US+CARBONATE+ASD","Cerca su PCS")</f>
        <v/>
      </c>
    </row>
    <row r="295">
      <c r="A295" t="n">
        <v>294</v>
      </c>
      <c r="B295" t="inlineStr">
        <is>
          <t>OSIO SOTTO</t>
        </is>
      </c>
      <c r="C295" t="inlineStr"/>
      <c r="D295">
        <f>HYPERLINK("https://www.procyclingstats.com/search.php?term=OSIO+SOTTO","Cerca su PCS")</f>
        <v/>
      </c>
    </row>
    <row r="296">
      <c r="A296" t="n">
        <v>295</v>
      </c>
      <c r="B296" t="inlineStr">
        <is>
          <t>POL. ALBERGO-OLIVETO</t>
        </is>
      </c>
      <c r="C296" t="inlineStr"/>
      <c r="D296">
        <f>HYPERLINK("https://www.procyclingstats.com/search.php?term=POL.+ALBERGO-OLIVETO","Cerca su PCS")</f>
        <v/>
      </c>
    </row>
    <row r="297">
      <c r="A297" t="n">
        <v>296</v>
      </c>
      <c r="B297" t="inlineStr">
        <is>
          <t>VIGNA FIORITA-BORGO MOLINO</t>
        </is>
      </c>
      <c r="C297" t="inlineStr"/>
      <c r="D297">
        <f>HYPERLINK("https://www.procyclingstats.com/search.php?term=VIGNA+FIORITA-BORGO+MOLINO","Cerca su PCS")</f>
        <v/>
      </c>
    </row>
    <row r="298">
      <c r="A298" t="n">
        <v>297</v>
      </c>
      <c r="B298" t="inlineStr">
        <is>
          <t>FACTOR RACING</t>
        </is>
      </c>
      <c r="C298" t="inlineStr"/>
      <c r="D298">
        <f>HYPERLINK("https://www.procyclingstats.com/search.php?term=FACTOR+RACING","Cerca su PCS")</f>
        <v/>
      </c>
    </row>
    <row r="299">
      <c r="A299" t="n">
        <v>298</v>
      </c>
      <c r="B299" t="inlineStr">
        <is>
          <t>V.C. ORSAGO - OROGILDO</t>
        </is>
      </c>
      <c r="C299" t="inlineStr"/>
      <c r="D299">
        <f>HYPERLINK("https://www.procyclingstats.com/search.php?term=V.C.+ORSAGO+-+OROGILDO","Cerca su PCS")</f>
        <v/>
      </c>
    </row>
    <row r="300">
      <c r="A300" t="n">
        <v>299</v>
      </c>
      <c r="B300" t="inlineStr">
        <is>
          <t>ST KILDA CYCLING CLUB</t>
        </is>
      </c>
      <c r="C300" t="inlineStr"/>
      <c r="D300">
        <f>HYPERLINK("https://www.procyclingstats.com/search.php?term=ST+KILDA+CYCLING+CLUB","Cerca su PCS")</f>
        <v/>
      </c>
    </row>
    <row r="301">
      <c r="A301" t="n">
        <v>300</v>
      </c>
      <c r="B301" t="inlineStr">
        <is>
          <t>A.S.D. - G.C. EMIC</t>
        </is>
      </c>
      <c r="C301" t="inlineStr"/>
      <c r="D301">
        <f>HYPERLINK("https://www.procyclingstats.com/search.php?term=A.S.D.+-+G.C.+EMIC","Cerca su PCS")</f>
        <v/>
      </c>
    </row>
    <row r="302">
      <c r="A302" t="n">
        <v>301</v>
      </c>
      <c r="B302" t="inlineStr">
        <is>
          <t>CICLISTICA BUJESE - DIGAS</t>
        </is>
      </c>
      <c r="C302" t="inlineStr"/>
      <c r="D302">
        <f>HYPERLINK("https://www.procyclingstats.com/search.php?term=CICLISTICA+BUJESE+-+DIGAS","Cerca su PCS")</f>
        <v/>
      </c>
    </row>
    <row r="303">
      <c r="A303" t="n">
        <v>302</v>
      </c>
      <c r="B303" t="inlineStr">
        <is>
          <t>TUDOR PRO CYCLING U23</t>
        </is>
      </c>
      <c r="C303" t="inlineStr"/>
      <c r="D303">
        <f>HYPERLINK("https://www.procyclingstats.com/search.php?term=TUDOR+PRO+CYCLING+U23","Cerca su PCS")</f>
        <v/>
      </c>
    </row>
    <row r="304">
      <c r="A304" t="n">
        <v>303</v>
      </c>
      <c r="B304" t="inlineStr">
        <is>
          <t>U.C TREVIGIANI ENERGIAPURA MARCHIOL</t>
        </is>
      </c>
      <c r="C304" t="inlineStr"/>
      <c r="D304">
        <f>HYPERLINK("https://www.procyclingstats.com/search.php?term=U.C+TREVIGIANI+ENERGIAPURA+MARCHIOL","Cerca su PCS")</f>
        <v/>
      </c>
    </row>
    <row r="305">
      <c r="A305" t="n">
        <v>304</v>
      </c>
      <c r="B305" t="inlineStr">
        <is>
          <t>ARA I SKIP CAPITAL</t>
        </is>
      </c>
      <c r="C305" t="inlineStr"/>
      <c r="D305">
        <f>HYPERLINK("https://www.procyclingstats.com/search.php?term=ARA+I+SKIP+CAPITAL","Cerca su PCS")</f>
        <v/>
      </c>
    </row>
    <row r="306">
      <c r="A306" t="n">
        <v>305</v>
      </c>
      <c r="B306" t="inlineStr">
        <is>
          <t>ASD G.C. SISSIO TEAM</t>
        </is>
      </c>
      <c r="C306" t="inlineStr"/>
      <c r="D306">
        <f>HYPERLINK("https://www.procyclingstats.com/search.php?term=ASD+G.C.+SISSIO+TEAM","Cerca su PCS")</f>
        <v/>
      </c>
    </row>
    <row r="307">
      <c r="A307" t="n">
        <v>306</v>
      </c>
      <c r="B307" t="inlineStr">
        <is>
          <t>TRIS STAMPI FIOR DI GRANO</t>
        </is>
      </c>
      <c r="C307" t="inlineStr"/>
      <c r="D307">
        <f>HYPERLINK("https://www.procyclingstats.com/search.php?term=TRIS+STAMPI+FIOR+DI+GRANO","Cerca su PCS")</f>
        <v/>
      </c>
    </row>
    <row r="308">
      <c r="A308" t="n">
        <v>307</v>
      </c>
      <c r="B308" t="inlineStr">
        <is>
          <t>NURRI-ORROLI MTB A.S.D.</t>
        </is>
      </c>
      <c r="C308" t="inlineStr"/>
      <c r="D308">
        <f>HYPERLINK("https://www.procyclingstats.com/search.php?term=NURRI-ORROLI+MTB+A.S.D.","Cerca su PCS")</f>
        <v/>
      </c>
    </row>
    <row r="309">
      <c r="A309" t="n">
        <v>308</v>
      </c>
      <c r="B309" t="inlineStr">
        <is>
          <t>FABIO ARU ACADEMY S.R.L. A.R.L.</t>
        </is>
      </c>
      <c r="C309" t="inlineStr"/>
      <c r="D309">
        <f>HYPERLINK("https://www.procyclingstats.com/search.php?term=FABIO+ARU+ACADEMY+S.R.L.+A.R.L.","Cerca su PCS")</f>
        <v/>
      </c>
    </row>
    <row r="310">
      <c r="A310" t="n">
        <v>309</v>
      </c>
      <c r="B310" t="inlineStr">
        <is>
          <t>WCC - UCI WORLD CYCLING CENTRE</t>
        </is>
      </c>
      <c r="C310" t="inlineStr"/>
      <c r="D310">
        <f>HYPERLINK("https://www.procyclingstats.com/search.php?term=WCC+-+UCI+WORLD+CYCLING+CENTRE","Cerca su PCS")</f>
        <v/>
      </c>
    </row>
    <row r="311">
      <c r="A311" t="n">
        <v>310</v>
      </c>
      <c r="B311" t="inlineStr">
        <is>
          <t>FANINI PRO CYCLING</t>
        </is>
      </c>
      <c r="C311" t="inlineStr"/>
      <c r="D311">
        <f>HYPERLINK("https://www.procyclingstats.com/search.php?term=FANINI+PRO+CYCLING","Cerca su PCS")</f>
        <v/>
      </c>
    </row>
    <row r="312">
      <c r="A312" t="n">
        <v>311</v>
      </c>
      <c r="B312" t="inlineStr">
        <is>
          <t>PERUTNINA PTUJ</t>
        </is>
      </c>
      <c r="C312" t="inlineStr"/>
      <c r="D312">
        <f>HYPERLINK("https://www.procyclingstats.com/search.php?term=PERUTNINA+PTUJ","Cerca su PCS")</f>
        <v/>
      </c>
    </row>
    <row r="313">
      <c r="A313" t="n">
        <v>312</v>
      </c>
      <c r="B313" t="inlineStr">
        <is>
          <t>TEAM RAP TIROL</t>
        </is>
      </c>
      <c r="C313" t="inlineStr"/>
      <c r="D313">
        <f>HYPERLINK("https://www.procyclingstats.com/search.php?term=TEAM+RAP+TIROL","Cerca su PCS")</f>
        <v/>
      </c>
    </row>
    <row r="314">
      <c r="A314" t="n">
        <v>313</v>
      </c>
      <c r="B314" t="inlineStr">
        <is>
          <t>INFOCARS-ESTEMOTOR</t>
        </is>
      </c>
      <c r="C314" t="inlineStr"/>
      <c r="D314">
        <f>HYPERLINK("https://www.procyclingstats.com/search.php?term=INFOCARS-ESTEMOTOR","Cerca su PCS")</f>
        <v/>
      </c>
    </row>
    <row r="315">
      <c r="A315" t="n">
        <v>314</v>
      </c>
      <c r="B315" t="inlineStr">
        <is>
          <t>CICLISTICA PIERIS</t>
        </is>
      </c>
      <c r="C315" t="inlineStr"/>
      <c r="D315">
        <f>HYPERLINK("https://www.procyclingstats.com/search.php?term=CICLISTICA+PIERIS","Cerca su PCS")</f>
        <v/>
      </c>
    </row>
    <row r="316">
      <c r="A316" t="n">
        <v>315</v>
      </c>
      <c r="B316" t="inlineStr">
        <is>
          <t>ASD 1D+ UN DENTE IN PIU'</t>
        </is>
      </c>
      <c r="C316" t="inlineStr"/>
      <c r="D316">
        <f>HYPERLINK("https://www.procyclingstats.com/search.php?term=ASD+1D++UN+DENTE+IN+PIU'","Cerca su PCS")</f>
        <v/>
      </c>
    </row>
    <row r="317">
      <c r="A317" t="n">
        <v>316</v>
      </c>
      <c r="B317" t="inlineStr">
        <is>
          <t>PEDALE BREMBILLESE</t>
        </is>
      </c>
      <c r="C317" t="inlineStr"/>
      <c r="D317">
        <f>HYPERLINK("https://www.procyclingstats.com/search.php?term=PEDALE+BREMBILLESE","Cerca su PCS")</f>
        <v/>
      </c>
    </row>
    <row r="318">
      <c r="A318" t="n">
        <v>317</v>
      </c>
      <c r="B318" t="inlineStr">
        <is>
          <t>G.S. LUPI VALLE D'AOSTA</t>
        </is>
      </c>
      <c r="C318" t="inlineStr"/>
      <c r="D318">
        <f>HYPERLINK("https://www.procyclingstats.com/search.php?term=G.S.+LUPI+VALLE+D'AOSTA","Cerca su PCS")</f>
        <v/>
      </c>
    </row>
    <row r="319">
      <c r="A319" t="n">
        <v>318</v>
      </c>
      <c r="B319" t="inlineStr">
        <is>
          <t>POMORIE</t>
        </is>
      </c>
      <c r="C319" t="inlineStr"/>
      <c r="D319">
        <f>HYPERLINK("https://www.procyclingstats.com/search.php?term=POMORIE","Cerca su PCS")</f>
        <v/>
      </c>
    </row>
    <row r="320">
      <c r="A320" t="n">
        <v>319</v>
      </c>
      <c r="B320" t="inlineStr">
        <is>
          <t>A.S.D. GRUPPO CICLISTICO MATELICA</t>
        </is>
      </c>
      <c r="C320" t="inlineStr"/>
      <c r="D320">
        <f>HYPERLINK("https://www.procyclingstats.com/search.php?term=A.S.D.+GRUPPO+CICLISTICO+MATELICA","Cerca su PCS")</f>
        <v/>
      </c>
    </row>
    <row r="321">
      <c r="A321" t="n">
        <v>320</v>
      </c>
      <c r="B321" t="inlineStr">
        <is>
          <t>S.C. VILLA S.ANTONIO CICLI COCCI</t>
        </is>
      </c>
      <c r="C321" t="inlineStr"/>
      <c r="D321">
        <f>HYPERLINK("https://www.procyclingstats.com/search.php?term=S.C.+VILLA+S.ANTONIO+CICLI+COCCI","Cerca su PCS")</f>
        <v/>
      </c>
    </row>
    <row r="322">
      <c r="A322" t="n">
        <v>321</v>
      </c>
      <c r="B322" t="inlineStr">
        <is>
          <t>A.S.D. AVIS BIKE RUVO</t>
        </is>
      </c>
      <c r="C322" t="inlineStr"/>
      <c r="D322">
        <f>HYPERLINK("https://www.procyclingstats.com/search.php?term=A.S.D.+AVIS+BIKE+RUVO","Cerca su PCS")</f>
        <v/>
      </c>
    </row>
    <row r="323">
      <c r="A323" t="n">
        <v>322</v>
      </c>
      <c r="B323" t="inlineStr">
        <is>
          <t>ABRUZZO CYCLING TEAM</t>
        </is>
      </c>
      <c r="C323" t="inlineStr"/>
      <c r="D323">
        <f>HYPERLINK("https://www.procyclingstats.com/search.php?term=ABRUZZO+CYCLING+TEAM","Cerca su PCS")</f>
        <v/>
      </c>
    </row>
    <row r="324">
      <c r="A324" t="n">
        <v>323</v>
      </c>
      <c r="B324" t="inlineStr">
        <is>
          <t>U.C.FOLIGNO ASD</t>
        </is>
      </c>
      <c r="C324" t="inlineStr"/>
      <c r="D324">
        <f>HYPERLINK("https://www.procyclingstats.com/search.php?term=U.C.FOLIGNO+ASD","Cerca su PCS")</f>
        <v/>
      </c>
    </row>
    <row r="325">
      <c r="A325" t="n">
        <v>324</v>
      </c>
      <c r="B325" t="inlineStr">
        <is>
          <t>A.S.D. CASTIGLIONESE</t>
        </is>
      </c>
      <c r="C325" t="inlineStr"/>
      <c r="D325">
        <f>HYPERLINK("https://www.procyclingstats.com/search.php?term=A.S.D.+CASTIGLIONESE","Cerca su PCS")</f>
        <v/>
      </c>
    </row>
    <row r="326">
      <c r="A326" t="n">
        <v>325</v>
      </c>
      <c r="B326" t="inlineStr">
        <is>
          <t>ALBA BRA LANGHE ROERO</t>
        </is>
      </c>
      <c r="C326" t="inlineStr"/>
      <c r="D326">
        <f>HYPERLINK("https://www.procyclingstats.com/search.php?term=ALBA+BRA+LANGHE+ROERO","Cerca su PCS")</f>
        <v/>
      </c>
    </row>
    <row r="327">
      <c r="A327" t="n">
        <v>326</v>
      </c>
      <c r="B327" t="inlineStr">
        <is>
          <t>UA' CYCLING TEAM</t>
        </is>
      </c>
      <c r="C327" t="inlineStr"/>
      <c r="D327">
        <f>HYPERLINK("https://www.procyclingstats.com/search.php?term=UA'+CYCLING+TEAM","Cerca su PCS")</f>
        <v/>
      </c>
    </row>
    <row r="328">
      <c r="A328" t="n">
        <v>327</v>
      </c>
      <c r="B328" t="inlineStr">
        <is>
          <t>ESPERIA PIASCO</t>
        </is>
      </c>
      <c r="C328" t="inlineStr"/>
      <c r="D328">
        <f>HYPERLINK("https://www.procyclingstats.com/search.php?term=ESPERIA+PIASCO","Cerca su PCS")</f>
        <v/>
      </c>
    </row>
    <row r="329">
      <c r="A329" t="n">
        <v>328</v>
      </c>
      <c r="B329" t="inlineStr">
        <is>
          <t>TSCHERNING CYCLING ACADEMY</t>
        </is>
      </c>
      <c r="C329" t="inlineStr"/>
      <c r="D329">
        <f>HYPERLINK("https://www.procyclingstats.com/search.php?term=TSCHERNING+CYCLING+ACADEMY","Cerca su PCS")</f>
        <v/>
      </c>
    </row>
    <row r="330">
      <c r="A330" t="n">
        <v>329</v>
      </c>
      <c r="B330" t="inlineStr">
        <is>
          <t>AR MONEX WMN PRO CYCLING TEAM</t>
        </is>
      </c>
      <c r="C330" t="inlineStr"/>
      <c r="D330">
        <f>HYPERLINK("https://www.procyclingstats.com/search.php?term=AR+MONEX+WMN+PRO+CYCLING+TEAM","Cerca su PCS")</f>
        <v/>
      </c>
    </row>
    <row r="331">
      <c r="A331" t="n">
        <v>330</v>
      </c>
      <c r="B331" t="inlineStr">
        <is>
          <t>TEAM CINGOLANI-SPECIALIZED</t>
        </is>
      </c>
      <c r="C331" t="inlineStr"/>
      <c r="D331">
        <f>HYPERLINK("https://www.procyclingstats.com/search.php?term=TEAM+CINGOLANI-SPECIALIZED","Cerca su PCS")</f>
        <v/>
      </c>
    </row>
    <row r="332">
      <c r="A332" t="n">
        <v>331</v>
      </c>
      <c r="B332" t="inlineStr">
        <is>
          <t>TORELLI CYCLING TEAM</t>
        </is>
      </c>
      <c r="C332" t="inlineStr"/>
      <c r="D332">
        <f>HYPERLINK("https://www.procyclingstats.com/search.php?term=TORELLI+CYCLING+TEAM","Cerca su PCS")</f>
        <v/>
      </c>
    </row>
    <row r="333">
      <c r="A333" t="n">
        <v>332</v>
      </c>
      <c r="B333" t="inlineStr">
        <is>
          <t>S.C.V. BIKE CADORAGO ASD</t>
        </is>
      </c>
      <c r="C333" t="inlineStr"/>
      <c r="D333">
        <f>HYPERLINK("https://www.procyclingstats.com/search.php?term=S.C.V.+BIKE+CADORAGO+ASD","Cerca su PCS")</f>
        <v/>
      </c>
    </row>
    <row r="334">
      <c r="A334" t="n">
        <v>333</v>
      </c>
      <c r="B334" t="inlineStr">
        <is>
          <t>LOTTO INTERNARCHE' LADIES</t>
        </is>
      </c>
      <c r="C334" t="inlineStr"/>
      <c r="D334">
        <f>HYPERLINK("https://www.procyclingstats.com/search.php?term=LOTTO+INTERNARCHE'+LADIES","Cerca su PCS")</f>
        <v/>
      </c>
    </row>
    <row r="335">
      <c r="A335" t="n">
        <v>334</v>
      </c>
      <c r="B335" t="inlineStr">
        <is>
          <t>TEAM VISMA LEASE A BIKE</t>
        </is>
      </c>
      <c r="C335" t="inlineStr"/>
      <c r="D335">
        <f>HYPERLINK("https://www.procyclingstats.com/search.php?term=TEAM+VISMA+LEASE+A+BIKE","Cerca su PCS")</f>
        <v/>
      </c>
    </row>
    <row r="336">
      <c r="A336" t="n">
        <v>335</v>
      </c>
      <c r="B336" t="inlineStr">
        <is>
          <t>UNO-X MOBILITY</t>
        </is>
      </c>
      <c r="C336" t="inlineStr"/>
      <c r="D336">
        <f>HYPERLINK("https://www.procyclingstats.com/search.php?term=UNO-X+MOBILITY","Cerca su PCS")</f>
        <v/>
      </c>
    </row>
    <row r="337">
      <c r="A337" t="n">
        <v>336</v>
      </c>
      <c r="B337" t="inlineStr">
        <is>
          <t>AG INSURANCE SOUDAL</t>
        </is>
      </c>
      <c r="C337" t="inlineStr"/>
      <c r="D337">
        <f>HYPERLINK("https://www.procyclingstats.com/search.php?term=AG+INSURANCE+SOUDAL","Cerca su PCS")</f>
        <v/>
      </c>
    </row>
    <row r="338">
      <c r="A338" t="n">
        <v>337</v>
      </c>
      <c r="B338" t="inlineStr">
        <is>
          <t>SVIZZERA</t>
        </is>
      </c>
      <c r="C338" t="inlineStr"/>
      <c r="D338">
        <f>HYPERLINK("https://www.procyclingstats.com/search.php?term=SVIZZERA","Cerca su PCS")</f>
        <v/>
      </c>
    </row>
    <row r="339">
      <c r="A339" t="n">
        <v>338</v>
      </c>
      <c r="B339" t="inlineStr">
        <is>
          <t>NORVEGIA</t>
        </is>
      </c>
      <c r="C339" t="inlineStr"/>
      <c r="D339">
        <f>HYPERLINK("https://www.procyclingstats.com/search.php?term=NORVEGIA","Cerca su PCS")</f>
        <v/>
      </c>
    </row>
    <row r="340">
      <c r="A340" t="n">
        <v>339</v>
      </c>
      <c r="B340" t="inlineStr">
        <is>
          <t>OLANDA</t>
        </is>
      </c>
      <c r="C340" t="inlineStr"/>
      <c r="D340">
        <f>HYPERLINK("https://www.procyclingstats.com/search.php?term=OLANDA","Cerca su PCS")</f>
        <v/>
      </c>
    </row>
    <row r="341">
      <c r="A341" t="n">
        <v>340</v>
      </c>
      <c r="B341" t="inlineStr">
        <is>
          <t>AUSTRALIA</t>
        </is>
      </c>
      <c r="C341" t="inlineStr"/>
      <c r="D341">
        <f>HYPERLINK("https://www.procyclingstats.com/search.php?term=AUSTRALIA","Cerca su PCS")</f>
        <v/>
      </c>
    </row>
    <row r="342">
      <c r="A342" t="n">
        <v>341</v>
      </c>
      <c r="B342" t="inlineStr">
        <is>
          <t>SPAGNA</t>
        </is>
      </c>
      <c r="C342" t="inlineStr"/>
      <c r="D342">
        <f>HYPERLINK("https://www.procyclingstats.com/search.php?term=SPAGNA","Cerca su PCS")</f>
        <v/>
      </c>
    </row>
    <row r="343">
      <c r="A343" t="n">
        <v>342</v>
      </c>
      <c r="B343" t="inlineStr">
        <is>
          <t>NAZIONALE UCRAINA</t>
        </is>
      </c>
      <c r="C343" t="inlineStr"/>
      <c r="D343">
        <f>HYPERLINK("https://www.procyclingstats.com/search.php?term=NAZIONALE+UCRAINA","Cerca su PCS")</f>
        <v/>
      </c>
    </row>
    <row r="344">
      <c r="A344" t="n">
        <v>343</v>
      </c>
      <c r="B344" t="inlineStr">
        <is>
          <t>A. D.PED. AZZURRO.RINASCITA</t>
        </is>
      </c>
      <c r="C344" t="inlineStr"/>
      <c r="D344">
        <f>HYPERLINK("https://www.procyclingstats.com/search.php?term=A.+D.PED.+AZZURRO.RINASCITA","Cerca su PCS")</f>
        <v/>
      </c>
    </row>
    <row r="345">
      <c r="A345" t="n">
        <v>344</v>
      </c>
      <c r="B345" t="inlineStr">
        <is>
          <t>ASD DP66 PINARELLO</t>
        </is>
      </c>
      <c r="C345" t="inlineStr"/>
      <c r="D345">
        <f>HYPERLINK("https://www.procyclingstats.com/search.php?term=ASD+DP66+PINARELLO","Cerca su PCS")</f>
        <v/>
      </c>
    </row>
    <row r="346">
      <c r="A346" t="n">
        <v>345</v>
      </c>
      <c r="B346" t="inlineStr">
        <is>
          <t>BIKE MOVEMENT - TRENTINOERBE</t>
        </is>
      </c>
      <c r="C346" t="inlineStr"/>
      <c r="D346">
        <f>HYPERLINK("https://www.procyclingstats.com/search.php?term=BIKE+MOVEMENT+-+TRENTINOERBE","Cerca su PCS")</f>
        <v/>
      </c>
    </row>
    <row r="347">
      <c r="A347" t="n">
        <v>346</v>
      </c>
      <c r="B347" t="inlineStr">
        <is>
          <t>U.S. AURORA TRENTO</t>
        </is>
      </c>
      <c r="C347" t="inlineStr"/>
      <c r="D347">
        <f>HYPERLINK("https://www.procyclingstats.com/search.php?term=U.S.+AURORA+TRENTO","Cerca su PCS")</f>
        <v/>
      </c>
    </row>
    <row r="348">
      <c r="A348" t="n">
        <v>347</v>
      </c>
      <c r="B348" t="inlineStr">
        <is>
          <t>POLISPORTIVA TRIPETETOLO SEANESE</t>
        </is>
      </c>
      <c r="C348" t="inlineStr"/>
      <c r="D348">
        <f>HYPERLINK("https://www.procyclingstats.com/search.php?term=POLISPORTIVA+TRIPETETOLO+SEANESE","Cerca su PCS")</f>
        <v/>
      </c>
    </row>
    <row r="349">
      <c r="A349" t="n">
        <v>348</v>
      </c>
      <c r="B349" t="inlineStr">
        <is>
          <t>NIPPO NUOVACOMAUTO OBOR</t>
        </is>
      </c>
      <c r="C349" t="inlineStr"/>
      <c r="D349">
        <f>HYPERLINK("https://www.procyclingstats.com/search.php?term=NIPPO+NUOVACOMAUTO+OBOR","Cerca su PCS")</f>
        <v/>
      </c>
    </row>
    <row r="350">
      <c r="A350" t="n">
        <v>349</v>
      </c>
      <c r="B350" t="inlineStr">
        <is>
          <t>GARLASCHESE A.S.D.</t>
        </is>
      </c>
      <c r="C350" t="inlineStr"/>
      <c r="D350">
        <f>HYPERLINK("https://www.procyclingstats.com/search.php?term=GARLASCHESE+A.S.D.","Cerca su PCS")</f>
        <v/>
      </c>
    </row>
    <row r="351">
      <c r="A351" t="n">
        <v>350</v>
      </c>
      <c r="B351" t="inlineStr">
        <is>
          <t>ST MICHEL-PREFERENCE HOME-AUBER93</t>
        </is>
      </c>
      <c r="C351" t="inlineStr"/>
      <c r="D351">
        <f>HYPERLINK("https://www.procyclingstats.com/search.php?term=ST+MICHEL-PREFERENCE+HOME-AUBER93","Cerca su PCS")</f>
        <v/>
      </c>
    </row>
    <row r="352">
      <c r="A352" t="n">
        <v>351</v>
      </c>
      <c r="B352" t="inlineStr">
        <is>
          <t>TEAM PICNIC POSTNL</t>
        </is>
      </c>
      <c r="C352" t="inlineStr"/>
      <c r="D352">
        <f>HYPERLINK("https://www.procyclingstats.com/search.php?term=TEAM+PICNIC+POSTNL","Cerca su PCS")</f>
        <v/>
      </c>
    </row>
    <row r="353">
      <c r="A353" t="n">
        <v>352</v>
      </c>
      <c r="B353" t="inlineStr">
        <is>
          <t>MBH BANK CYCLING TEAM JUNIOR</t>
        </is>
      </c>
      <c r="C353" t="inlineStr"/>
      <c r="D353">
        <f>HYPERLINK("https://www.procyclingstats.com/search.php?term=MBH+BANK+CYCLING+TEAM+JUNIOR","Cerca su PCS")</f>
        <v/>
      </c>
    </row>
    <row r="354">
      <c r="A354" t="n">
        <v>353</v>
      </c>
      <c r="B354" t="inlineStr">
        <is>
          <t>U.C.MONACO</t>
        </is>
      </c>
      <c r="C354" t="inlineStr"/>
      <c r="D354">
        <f>HYPERLINK("https://www.procyclingstats.com/search.php?term=U.C.MONACO","Cerca su PCS")</f>
        <v/>
      </c>
    </row>
    <row r="355">
      <c r="A355" t="n">
        <v>354</v>
      </c>
      <c r="B355" t="inlineStr">
        <is>
          <t>BLU TEAM</t>
        </is>
      </c>
      <c r="C355" t="inlineStr"/>
      <c r="D355">
        <f>HYPERLINK("https://www.procyclingstats.com/search.php?term=BLU+TEAM","Cerca su PCS")</f>
        <v/>
      </c>
    </row>
    <row r="356">
      <c r="A356" t="n">
        <v>355</v>
      </c>
      <c r="B356" t="inlineStr">
        <is>
          <t>BIKERS PETOSINO SCUOLA MTB</t>
        </is>
      </c>
      <c r="C356" t="inlineStr"/>
      <c r="D356">
        <f>HYPERLINK("https://www.procyclingstats.com/search.php?term=BIKERS+PETOSINO+SCUOLA+MTB","Cerca su PCS")</f>
        <v/>
      </c>
    </row>
    <row r="357">
      <c r="A357" t="n">
        <v>356</v>
      </c>
      <c r="B357" t="inlineStr">
        <is>
          <t>ASD TIRRENO BIKE CICLI FATATO</t>
        </is>
      </c>
      <c r="C357" t="inlineStr"/>
      <c r="D357">
        <f>HYPERLINK("https://www.procyclingstats.com/search.php?term=ASD+TIRRENO+BIKE+CICLI+FATATO","Cerca su PCS")</f>
        <v/>
      </c>
    </row>
    <row r="358">
      <c r="A358" t="n">
        <v>357</v>
      </c>
      <c r="B358" t="inlineStr">
        <is>
          <t>FLESSOFAB</t>
        </is>
      </c>
      <c r="C358" t="inlineStr"/>
      <c r="D358">
        <f>HYPERLINK("https://www.procyclingstats.com/search.php?term=FLESSOFAB","Cerca su PCS")</f>
        <v/>
      </c>
    </row>
    <row r="359">
      <c r="A359" t="n">
        <v>358</v>
      </c>
      <c r="B359" t="inlineStr">
        <is>
          <t>PROFBIKE ANGRI CYCLING TEAM</t>
        </is>
      </c>
      <c r="C359" t="inlineStr"/>
      <c r="D359">
        <f>HYPERLINK("https://www.procyclingstats.com/search.php?term=PROFBIKE+ANGRI+CYCLING+TEAM","Cerca su PCS")</f>
        <v/>
      </c>
    </row>
    <row r="360">
      <c r="A360" t="n">
        <v>359</v>
      </c>
      <c r="B360" t="inlineStr">
        <is>
          <t>A.S.D. MONTICELLI BIKE</t>
        </is>
      </c>
      <c r="C360" t="inlineStr"/>
      <c r="D360">
        <f>HYPERLINK("https://www.procyclingstats.com/search.php?term=A.S.D.+MONTICELLI+BIKE","Cerca su PCS")</f>
        <v/>
      </c>
    </row>
    <row r="361">
      <c r="A361" t="n">
        <v>360</v>
      </c>
      <c r="B361" t="inlineStr">
        <is>
          <t>ASD CAMPOBELLO RUNNING &amp; BIKE</t>
        </is>
      </c>
      <c r="C361" t="inlineStr"/>
      <c r="D361">
        <f>HYPERLINK("https://www.procyclingstats.com/search.php?term=ASD+CAMPOBELLO+RUNNING+&amp;+BIKE","Cerca su PCS")</f>
        <v/>
      </c>
    </row>
    <row r="362">
      <c r="A362" t="n">
        <v>361</v>
      </c>
      <c r="B362" t="inlineStr">
        <is>
          <t>DEKA RIDERS TEAM ASD</t>
        </is>
      </c>
      <c r="C362" t="inlineStr"/>
      <c r="D362">
        <f>HYPERLINK("https://www.procyclingstats.com/search.php?term=DEKA+RIDERS+TEAM+ASD","Cerca su PCS")</f>
        <v/>
      </c>
    </row>
    <row r="363">
      <c r="A363" t="n">
        <v>362</v>
      </c>
      <c r="B363" t="inlineStr">
        <is>
          <t>ASD DONORI BIKE TEAM</t>
        </is>
      </c>
      <c r="C363" t="inlineStr"/>
      <c r="D363">
        <f>HYPERLINK("https://www.procyclingstats.com/search.php?term=ASD+DONORI+BIKE+TEAM","Cerca su PCS")</f>
        <v/>
      </c>
    </row>
    <row r="364">
      <c r="A364" t="n">
        <v>363</v>
      </c>
      <c r="B364" t="inlineStr">
        <is>
          <t>ZHIRAF</t>
        </is>
      </c>
      <c r="C364" t="inlineStr"/>
      <c r="D364">
        <f>HYPERLINK("https://www.procyclingstats.com/search.php?term=ZHIRAF","Cerca su PCS")</f>
        <v/>
      </c>
    </row>
    <row r="365">
      <c r="A365" t="n">
        <v>364</v>
      </c>
      <c r="B365" t="inlineStr">
        <is>
          <t>A.S.D CICLISTICA G.BONZAGNI</t>
        </is>
      </c>
      <c r="C365" t="inlineStr"/>
      <c r="D365">
        <f>HYPERLINK("https://www.procyclingstats.com/search.php?term=A.S.D+CICLISTICA+G.BONZAGNI","Cerca su PCS")</f>
        <v/>
      </c>
    </row>
    <row r="366">
      <c r="A366" t="n">
        <v>365</v>
      </c>
      <c r="B366" t="inlineStr">
        <is>
          <t>TEAM GO FAST PUGLIA ARADEO</t>
        </is>
      </c>
      <c r="C366" t="inlineStr"/>
      <c r="D366">
        <f>HYPERLINK("https://www.procyclingstats.com/search.php?term=TEAM+GO+FAST+PUGLIA+ARADEO","Cerca su PCS")</f>
        <v/>
      </c>
    </row>
    <row r="367">
      <c r="A367" t="n">
        <v>366</v>
      </c>
      <c r="B367" t="inlineStr">
        <is>
          <t>V.C. CITTA' DI MAROSTICA</t>
        </is>
      </c>
      <c r="C367" t="inlineStr"/>
      <c r="D367">
        <f>HYPERLINK("https://www.procyclingstats.com/search.php?term=V.C.+CITTA'+DI+MAROSTICA","Cerca su PCS")</f>
        <v/>
      </c>
    </row>
    <row r="368">
      <c r="A368" t="n">
        <v>367</v>
      </c>
      <c r="B368" t="inlineStr">
        <is>
          <t>LEO CONSTRUCTIONS SSD</t>
        </is>
      </c>
      <c r="C368" t="inlineStr"/>
      <c r="D368">
        <f>HYPERLINK("https://www.procyclingstats.com/search.php?term=LEO+CONSTRUCTIONS+SSD","Cerca su PCS")</f>
        <v/>
      </c>
    </row>
    <row r="369">
      <c r="A369" t="n">
        <v>368</v>
      </c>
      <c r="B369" t="inlineStr">
        <is>
          <t>ASD FK-BIKE SCORRANO</t>
        </is>
      </c>
      <c r="C369" t="inlineStr"/>
      <c r="D369">
        <f>HYPERLINK("https://www.procyclingstats.com/search.php?term=ASD+FK-BIKE+SCORRANO","Cerca su PCS")</f>
        <v/>
      </c>
    </row>
    <row r="370">
      <c r="A370" t="n">
        <v>369</v>
      </c>
      <c r="B370" t="inlineStr">
        <is>
          <t>SCUOLA DI CICLISMO FRANCO BALLERINI</t>
        </is>
      </c>
      <c r="C370" t="inlineStr"/>
      <c r="D370">
        <f>HYPERLINK("https://www.procyclingstats.com/search.php?term=SCUOLA+DI+CICLISMO+FRANCO+BALLERINI","Cerca su PCS")</f>
        <v/>
      </c>
    </row>
    <row r="371">
      <c r="A371" t="n">
        <v>370</v>
      </c>
      <c r="B371" t="inlineStr">
        <is>
          <t>POL ASD RE-CYCLING</t>
        </is>
      </c>
      <c r="C371" t="inlineStr"/>
      <c r="D371">
        <f>HYPERLINK("https://www.procyclingstats.com/search.php?term=POL+ASD+RE-CYCLING","Cerca su PCS")</f>
        <v/>
      </c>
    </row>
    <row r="372">
      <c r="A372" t="n">
        <v>371</v>
      </c>
      <c r="B372" t="inlineStr">
        <is>
          <t>MOTOSTAFFETTE POTENZA</t>
        </is>
      </c>
      <c r="C372" t="inlineStr"/>
      <c r="D372">
        <f>HYPERLINK("https://www.procyclingstats.com/search.php?term=MOTOSTAFFETTE+POTENZA","Cerca su PCS")</f>
        <v/>
      </c>
    </row>
    <row r="373">
      <c r="A373" t="n">
        <v>372</v>
      </c>
      <c r="B373" t="inlineStr">
        <is>
          <t>A.S.D. LUDOBIKE SCUOLA DI CICLISMO</t>
        </is>
      </c>
      <c r="C373" t="inlineStr"/>
      <c r="D373">
        <f>HYPERLINK("https://www.procyclingstats.com/search.php?term=A.S.D.+LUDOBIKE+SCUOLA+DI+CICLISMO","Cerca su PCS")</f>
        <v/>
      </c>
    </row>
    <row r="374">
      <c r="A374" t="n">
        <v>373</v>
      </c>
      <c r="B374" t="inlineStr">
        <is>
          <t>BELGIO</t>
        </is>
      </c>
      <c r="C374" t="inlineStr"/>
      <c r="D374">
        <f>HYPERLINK("https://www.procyclingstats.com/search.php?term=BELGIO","Cerca su PCS")</f>
        <v/>
      </c>
    </row>
    <row r="375">
      <c r="A375" t="n">
        <v>374</v>
      </c>
      <c r="B375" t="inlineStr">
        <is>
          <t>KK NOVO MESTO</t>
        </is>
      </c>
      <c r="C375" t="inlineStr"/>
      <c r="D375">
        <f>HYPERLINK("https://www.procyclingstats.com/search.php?term=KK+NOVO+MESTO","Cerca su PCS")</f>
        <v/>
      </c>
    </row>
    <row r="376">
      <c r="A376" t="n">
        <v>375</v>
      </c>
      <c r="B376" t="inlineStr">
        <is>
          <t>AXION FUTURE TEAM</t>
        </is>
      </c>
      <c r="C376" t="inlineStr"/>
      <c r="D376">
        <f>HYPERLINK("https://www.procyclingstats.com/search.php?term=AXION+FUTURE+TEAM","Cerca su PCS")</f>
        <v/>
      </c>
    </row>
    <row r="377">
      <c r="A377" t="n">
        <v>376</v>
      </c>
      <c r="B377" t="inlineStr">
        <is>
          <t>UNIONE CICLISTICA OSSANESGA</t>
        </is>
      </c>
      <c r="C377" t="inlineStr"/>
      <c r="D377">
        <f>HYPERLINK("https://www.procyclingstats.com/search.php?term=UNIONE+CICLISTICA+OSSANESGA","Cerca su PCS")</f>
        <v/>
      </c>
    </row>
    <row r="378">
      <c r="A378" t="n">
        <v>377</v>
      </c>
      <c r="B378" t="inlineStr">
        <is>
          <t>SKOLA  BCKLIZMA  ZAGREB</t>
        </is>
      </c>
      <c r="C378" t="inlineStr"/>
      <c r="D378">
        <f>HYPERLINK("https://www.procyclingstats.com/search.php?term=SKOLA++BCKLIZMA++ZAGREB","Cerca su PCS")</f>
        <v/>
      </c>
    </row>
    <row r="379">
      <c r="A379" t="n">
        <v>378</v>
      </c>
      <c r="B379" t="inlineStr">
        <is>
          <t>V CYCLING ACADEMY S.S.D. A R.L.</t>
        </is>
      </c>
      <c r="C379" t="inlineStr"/>
      <c r="D379">
        <f>HYPERLINK("https://www.procyclingstats.com/search.php?term=V+CYCLING+ACADEMY+S.S.D.+A+R.L.","Cerca su PCS")</f>
        <v/>
      </c>
    </row>
    <row r="380">
      <c r="A380" t="n">
        <v>379</v>
      </c>
      <c r="B380" t="inlineStr">
        <is>
          <t>ASD NADIR ON THE ROAD</t>
        </is>
      </c>
      <c r="C380" t="inlineStr"/>
      <c r="D380">
        <f>HYPERLINK("https://www.procyclingstats.com/search.php?term=ASD+NADIR+ON+THE+ROAD","Cerca su PCS")</f>
        <v/>
      </c>
    </row>
    <row r="381">
      <c r="A381" t="n">
        <v>380</v>
      </c>
      <c r="B381" t="inlineStr">
        <is>
          <t>ASSAGO TEAM EVOLUTION</t>
        </is>
      </c>
      <c r="C381" t="inlineStr"/>
      <c r="D381">
        <f>HYPERLINK("https://www.procyclingstats.com/search.php?term=ASSAGO+TEAM+EVOLUTION","Cerca su PCS")</f>
        <v/>
      </c>
    </row>
    <row r="382">
      <c r="A382" t="n">
        <v>381</v>
      </c>
      <c r="B382" t="inlineStr">
        <is>
          <t>ASD VELO CLUB AVEZZANO BIKE LINEAORO</t>
        </is>
      </c>
      <c r="C382" t="inlineStr"/>
      <c r="D382">
        <f>HYPERLINK("https://www.procyclingstats.com/search.php?term=ASD+VELO+CLUB+AVEZZANO+BIKE+LINEAORO","Cerca su PCS")</f>
        <v/>
      </c>
    </row>
    <row r="383">
      <c r="A383" t="n">
        <v>382</v>
      </c>
      <c r="B383" t="inlineStr">
        <is>
          <t>SLOVENIA NATIONAL TEAM</t>
        </is>
      </c>
      <c r="C383" t="inlineStr"/>
      <c r="D383">
        <f>HYPERLINK("https://www.procyclingstats.com/search.php?term=SLOVENIA+NATIONAL+TEAM","Cerca su PCS")</f>
        <v/>
      </c>
    </row>
    <row r="384">
      <c r="A384" t="n">
        <v>383</v>
      </c>
      <c r="B384" t="inlineStr">
        <is>
          <t>ACADEMY U19 REGION SUD</t>
        </is>
      </c>
      <c r="C384" t="inlineStr"/>
      <c r="D384">
        <f>HYPERLINK("https://www.procyclingstats.com/search.php?term=ACADEMY+U19+REGION+SUD","Cerca su PCS")</f>
        <v/>
      </c>
    </row>
    <row r="385">
      <c r="A385" t="n">
        <v>384</v>
      </c>
      <c r="B385" t="inlineStr">
        <is>
          <t>NEUTRAL TEAM</t>
        </is>
      </c>
      <c r="C385" t="inlineStr"/>
      <c r="D385">
        <f>HYPERLINK("https://www.procyclingstats.com/search.php?term=NEUTRAL+TEAM","Cerca su PCS")</f>
        <v/>
      </c>
    </row>
    <row r="386">
      <c r="A386" t="n">
        <v>385</v>
      </c>
      <c r="B386" t="inlineStr">
        <is>
          <t>OVERALL TRE COLLI CYCLING TEAM</t>
        </is>
      </c>
      <c r="C386" t="inlineStr"/>
      <c r="D386">
        <f>HYPERLINK("https://www.procyclingstats.com/search.php?term=OVERALL+TRE+COLLI+CYCLING+TEAM","Cerca su PCS")</f>
        <v/>
      </c>
    </row>
    <row r="387">
      <c r="A387" t="n">
        <v>386</v>
      </c>
      <c r="B387" t="inlineStr">
        <is>
          <t>PC BAIX EBRE TORTOSA</t>
        </is>
      </c>
      <c r="C387" t="inlineStr"/>
      <c r="D387">
        <f>HYPERLINK("https://www.procyclingstats.com/search.php?term=PC+BAIX+EBRE+TORTOSA","Cerca su PCS")</f>
        <v/>
      </c>
    </row>
    <row r="388">
      <c r="A388" t="n">
        <v>387</v>
      </c>
      <c r="B388" t="inlineStr">
        <is>
          <t>BMX CLUB SARRIANS</t>
        </is>
      </c>
      <c r="C388" t="inlineStr"/>
      <c r="D388">
        <f>HYPERLINK("https://www.procyclingstats.com/search.php?term=BMX+CLUB+SARRIANS","Cerca su PCS")</f>
        <v/>
      </c>
    </row>
    <row r="389">
      <c r="A389" t="n">
        <v>388</v>
      </c>
      <c r="B389" t="inlineStr">
        <is>
          <t>TEAM ESSERE</t>
        </is>
      </c>
      <c r="C389" t="inlineStr"/>
      <c r="D389">
        <f>HYPERLINK("https://www.procyclingstats.com/search.php?term=TEAM+ESSERE","Cerca su PCS")</f>
        <v/>
      </c>
    </row>
    <row r="390">
      <c r="A390" t="n">
        <v>389</v>
      </c>
      <c r="B390" t="inlineStr">
        <is>
          <t>PRO.GI.T. CYCLING TEAM</t>
        </is>
      </c>
      <c r="C390" t="inlineStr"/>
      <c r="D390">
        <f>HYPERLINK("https://www.procyclingstats.com/search.php?term=PRO.GI.T.+CYCLING+TEAM","Cerca su PCS")</f>
        <v/>
      </c>
    </row>
    <row r="391">
      <c r="A391" t="n">
        <v>390</v>
      </c>
      <c r="B391" t="inlineStr">
        <is>
          <t>ARKITANO MTB CLUB</t>
        </is>
      </c>
      <c r="C391" t="inlineStr"/>
      <c r="D391">
        <f>HYPERLINK("https://www.procyclingstats.com/search.php?term=ARKITANO+MTB+CLUB","Cerca su PCS")</f>
        <v/>
      </c>
    </row>
    <row r="392">
      <c r="A392" t="n">
        <v>391</v>
      </c>
      <c r="B392" t="inlineStr">
        <is>
          <t>ASD TEAM FEMMINILE TRENTINO</t>
        </is>
      </c>
      <c r="C392" t="inlineStr"/>
      <c r="D392">
        <f>HYPERLINK("https://www.procyclingstats.com/search.php?term=ASD+TEAM+FEMMINILE+TRENTINO","Cerca su PCS")</f>
        <v/>
      </c>
    </row>
    <row r="393">
      <c r="A393" t="n">
        <v>392</v>
      </c>
      <c r="B393" t="inlineStr">
        <is>
          <t>ENERGY TEAM A.S.D.</t>
        </is>
      </c>
      <c r="C393" t="inlineStr"/>
      <c r="D393">
        <f>HYPERLINK("https://www.procyclingstats.com/search.php?term=ENERGY+TEAM+A.S.D.","Cerca su PCS")</f>
        <v/>
      </c>
    </row>
    <row r="394">
      <c r="A394" t="n">
        <v>393</v>
      </c>
      <c r="B394" t="inlineStr">
        <is>
          <t>MTB ACADEMY GIAVENO</t>
        </is>
      </c>
      <c r="C394" t="inlineStr"/>
      <c r="D394">
        <f>HYPERLINK("https://www.procyclingstats.com/search.php?term=MTB+ACADEMY+GIAVENO","Cerca su PCS")</f>
        <v/>
      </c>
    </row>
    <row r="395">
      <c r="A395" t="n">
        <v>394</v>
      </c>
      <c r="B395" t="inlineStr">
        <is>
          <t>S.C. ORINESE A.S.D.</t>
        </is>
      </c>
      <c r="C395" t="inlineStr"/>
      <c r="D395">
        <f>HYPERLINK("https://www.procyclingstats.com/search.php?term=S.C.+ORINESE+A.S.D.","Cerca su PCS")</f>
        <v/>
      </c>
    </row>
    <row r="396">
      <c r="A396" t="n">
        <v>395</v>
      </c>
      <c r="B396" t="inlineStr">
        <is>
          <t>BANNIA ASS.SPORT.DILETT.</t>
        </is>
      </c>
      <c r="C396" t="inlineStr"/>
      <c r="D396">
        <f>HYPERLINK("https://www.procyclingstats.com/search.php?term=BANNIA+ASS.SPORT.DILETT.","Cerca su PCS")</f>
        <v/>
      </c>
    </row>
    <row r="397">
      <c r="A397" t="n">
        <v>396</v>
      </c>
      <c r="B397" t="inlineStr">
        <is>
          <t>RKC ROMAN KREUZIGER</t>
        </is>
      </c>
      <c r="C397" t="inlineStr"/>
      <c r="D397">
        <f>HYPERLINK("https://www.procyclingstats.com/search.php?term=RKC+ROMAN+KREUZIGER","Cerca su PCS")</f>
        <v/>
      </c>
    </row>
    <row r="398">
      <c r="A398" t="n">
        <v>397</v>
      </c>
      <c r="B398" t="inlineStr">
        <is>
          <t>AUSTRIA</t>
        </is>
      </c>
      <c r="C398" t="inlineStr"/>
      <c r="D398">
        <f>HYPERLINK("https://www.procyclingstats.com/search.php?term=AUSTRIA","Cerca su PCS")</f>
        <v/>
      </c>
    </row>
    <row r="399">
      <c r="A399" t="n">
        <v>398</v>
      </c>
      <c r="B399" t="inlineStr">
        <is>
          <t>CANADA</t>
        </is>
      </c>
      <c r="C399" t="inlineStr"/>
      <c r="D399">
        <f>HYPERLINK("https://www.procyclingstats.com/search.php?term=CANADA","Cerca su PCS")</f>
        <v/>
      </c>
    </row>
    <row r="400">
      <c r="A400" t="n">
        <v>399</v>
      </c>
      <c r="B400" t="inlineStr">
        <is>
          <t>FRANCIA</t>
        </is>
      </c>
      <c r="C400" t="inlineStr"/>
      <c r="D400">
        <f>HYPERLINK("https://www.procyclingstats.com/search.php?term=FRANCIA","Cerca su PCS")</f>
        <v/>
      </c>
    </row>
    <row r="401">
      <c r="A401" t="n">
        <v>400</v>
      </c>
      <c r="B401" t="inlineStr">
        <is>
          <t>STATI UNITI</t>
        </is>
      </c>
      <c r="C401" t="inlineStr"/>
      <c r="D401">
        <f>HYPERLINK("https://www.procyclingstats.com/search.php?term=STATI+UNITI","Cerca su PCS")</f>
        <v/>
      </c>
    </row>
    <row r="402">
      <c r="A402" t="n">
        <v>401</v>
      </c>
      <c r="B402" t="inlineStr">
        <is>
          <t>REPUBBLICA CECA</t>
        </is>
      </c>
      <c r="C402" t="inlineStr"/>
      <c r="D402">
        <f>HYPERLINK("https://www.procyclingstats.com/search.php?term=REPUBBLICA+CECA","Cerca su PCS")</f>
        <v/>
      </c>
    </row>
    <row r="403">
      <c r="A403" t="n">
        <v>402</v>
      </c>
      <c r="B403" t="inlineStr">
        <is>
          <t>GERMANIA</t>
        </is>
      </c>
      <c r="C403" t="inlineStr"/>
      <c r="D403">
        <f>HYPERLINK("https://www.procyclingstats.com/search.php?term=GERMANIA","Cerca su PCS")</f>
        <v/>
      </c>
    </row>
    <row r="404">
      <c r="A404" t="n">
        <v>403</v>
      </c>
      <c r="B404" t="inlineStr">
        <is>
          <t>S.C. VALLE SERIANA - CENE A.S.D.</t>
        </is>
      </c>
      <c r="C404" t="inlineStr"/>
      <c r="D404">
        <f>HYPERLINK("https://www.procyclingstats.com/search.php?term=S.C.+VALLE+SERIANA+-+CENE+A.S.D.","Cerca su PCS")</f>
        <v/>
      </c>
    </row>
    <row r="405">
      <c r="A405" t="n">
        <v>404</v>
      </c>
      <c r="B405" t="inlineStr">
        <is>
          <t>ESTONIA</t>
        </is>
      </c>
      <c r="C405" t="inlineStr"/>
      <c r="D405">
        <f>HYPERLINK("https://www.procyclingstats.com/search.php?term=ESTONIA","Cerca su PCS")</f>
        <v/>
      </c>
    </row>
    <row r="406">
      <c r="A406" t="n">
        <v>405</v>
      </c>
      <c r="B406" t="inlineStr">
        <is>
          <t>DANIMARCA</t>
        </is>
      </c>
      <c r="C406" t="inlineStr"/>
      <c r="D406">
        <f>HYPERLINK("https://www.procyclingstats.com/search.php?term=DANIMARCA","Cerca su PCS")</f>
        <v/>
      </c>
    </row>
    <row r="407">
      <c r="A407" t="n">
        <v>406</v>
      </c>
      <c r="B407" t="inlineStr">
        <is>
          <t>LETTONIA</t>
        </is>
      </c>
      <c r="C407" t="inlineStr"/>
      <c r="D407">
        <f>HYPERLINK("https://www.procyclingstats.com/search.php?term=LETTONIA","Cerca su PCS")</f>
        <v/>
      </c>
    </row>
    <row r="408">
      <c r="A408" t="n">
        <v>407</v>
      </c>
      <c r="B408" t="inlineStr">
        <is>
          <t>LUSSEMBURGO</t>
        </is>
      </c>
      <c r="C408" t="inlineStr"/>
      <c r="D408">
        <f>HYPERLINK("https://www.procyclingstats.com/search.php?term=LUSSEMBURGO","Cerca su PCS")</f>
        <v/>
      </c>
    </row>
    <row r="409">
      <c r="A409" t="n">
        <v>408</v>
      </c>
      <c r="B409" t="inlineStr">
        <is>
          <t>IRLANDA</t>
        </is>
      </c>
      <c r="C409" t="inlineStr"/>
      <c r="D409">
        <f>HYPERLINK("https://www.procyclingstats.com/search.php?term=IRLANDA","Cerca su PCS")</f>
        <v/>
      </c>
    </row>
    <row r="410">
      <c r="A410" t="n">
        <v>409</v>
      </c>
      <c r="B410" t="inlineStr">
        <is>
          <t>SVEZIA</t>
        </is>
      </c>
      <c r="C410" t="inlineStr"/>
      <c r="D410">
        <f>HYPERLINK("https://www.procyclingstats.com/search.php?term=SVEZIA","Cerca su PCS")</f>
        <v/>
      </c>
    </row>
    <row r="411">
      <c r="A411" t="n">
        <v>410</v>
      </c>
      <c r="B411" t="inlineStr">
        <is>
          <t>UCRAINA</t>
        </is>
      </c>
      <c r="C411" t="inlineStr"/>
      <c r="D411">
        <f>HYPERLINK("https://www.procyclingstats.com/search.php?term=UCRAINA","Cerca su PCS")</f>
        <v/>
      </c>
    </row>
    <row r="412">
      <c r="A412" t="n">
        <v>411</v>
      </c>
      <c r="B412" t="inlineStr">
        <is>
          <t>ASC KARDAUN-CARDANO</t>
        </is>
      </c>
      <c r="C412" t="inlineStr"/>
      <c r="D412">
        <f>HYPERLINK("https://www.procyclingstats.com/search.php?term=ASC+KARDAUN-CARDANO","Cerca su PCS")</f>
        <v/>
      </c>
    </row>
    <row r="413">
      <c r="A413" t="n">
        <v>412</v>
      </c>
      <c r="B413" t="inlineStr">
        <is>
          <t>ACS OLIMPIC ZARNESTI</t>
        </is>
      </c>
      <c r="C413" t="inlineStr"/>
      <c r="D413">
        <f>HYPERLINK("https://www.procyclingstats.com/search.php?term=ACS+OLIMPIC+ZARNESTI","Cerca su PCS")</f>
        <v/>
      </c>
    </row>
    <row r="414">
      <c r="A414" t="n">
        <v>413</v>
      </c>
      <c r="B414" t="inlineStr">
        <is>
          <t>BK RIJEKA</t>
        </is>
      </c>
      <c r="C414" t="inlineStr"/>
      <c r="D414">
        <f>HYPERLINK("https://www.procyclingstats.com/search.php?term=BK+RIJEKA","Cerca su PCS")</f>
        <v/>
      </c>
    </row>
    <row r="415">
      <c r="A415" t="n">
        <v>414</v>
      </c>
      <c r="B415" t="inlineStr">
        <is>
          <t>SOUDAL QUICK-STEP JUNIOR TEAM</t>
        </is>
      </c>
      <c r="C415" t="inlineStr"/>
      <c r="D415">
        <f>HYPERLINK("https://www.procyclingstats.com/search.php?term=SOUDAL+QUICK-STEP+JUNIOR+TEAM","Cerca su PCS")</f>
        <v/>
      </c>
    </row>
    <row r="416">
      <c r="A416" t="n">
        <v>415</v>
      </c>
      <c r="B416" t="inlineStr">
        <is>
          <t>GI ESSE PRO CYCLING</t>
        </is>
      </c>
      <c r="C416" t="inlineStr"/>
      <c r="D416">
        <f>HYPERLINK("https://www.procyclingstats.com/search.php?term=GI+ESSE+PRO+CYCLING","Cerca su PCS")</f>
        <v/>
      </c>
    </row>
    <row r="417">
      <c r="A417" t="n">
        <v>416</v>
      </c>
      <c r="B417" t="inlineStr">
        <is>
          <t>GS OLIMPIA VALDARNESE</t>
        </is>
      </c>
      <c r="C417" t="inlineStr"/>
      <c r="D417">
        <f>HYPERLINK("https://www.procyclingstats.com/search.php?term=GS+OLIMPIA+VALDARNESE","Cerca su PCS")</f>
        <v/>
      </c>
    </row>
    <row r="418">
      <c r="A418" t="n">
        <v>417</v>
      </c>
      <c r="B418" t="inlineStr">
        <is>
          <t>PETROLIKE</t>
        </is>
      </c>
      <c r="C418" t="inlineStr"/>
      <c r="D418">
        <f>HYPERLINK("https://www.procyclingstats.com/search.php?term=PETROLIKE","Cerca su PCS")</f>
        <v/>
      </c>
    </row>
    <row r="419">
      <c r="A419" t="n">
        <v>418</v>
      </c>
      <c r="B419" t="inlineStr">
        <is>
          <t>NEXETIS TEAM</t>
        </is>
      </c>
      <c r="C419" t="inlineStr"/>
      <c r="D419">
        <f>HYPERLINK("https://www.procyclingstats.com/search.php?term=NEXETIS+TEAM","Cerca su PCS")</f>
        <v/>
      </c>
    </row>
    <row r="420">
      <c r="A420" t="n">
        <v>419</v>
      </c>
      <c r="B420" t="inlineStr">
        <is>
          <t>UAE DEVELOPMENT TEAM</t>
        </is>
      </c>
      <c r="C420" t="inlineStr"/>
      <c r="D420">
        <f>HYPERLINK("https://www.procyclingstats.com/search.php?term=UAE+DEVELOPMENT+TEAM","Cerca su PCS")</f>
        <v/>
      </c>
    </row>
    <row r="421">
      <c r="A421" t="n">
        <v>420</v>
      </c>
      <c r="B421" t="inlineStr">
        <is>
          <t>NAZIONALE PARALIMPICA</t>
        </is>
      </c>
      <c r="C421" t="inlineStr"/>
      <c r="D421">
        <f>HYPERLINK("https://www.procyclingstats.com/search.php?term=NAZIONALE+PARALIMPICA","Cerca su PCS")</f>
        <v/>
      </c>
    </row>
    <row r="422">
      <c r="A422" t="n">
        <v>421</v>
      </c>
      <c r="B422" t="inlineStr">
        <is>
          <t>U.C. PREGNANA</t>
        </is>
      </c>
      <c r="C422" t="inlineStr"/>
      <c r="D422">
        <f>HYPERLINK("https://www.procyclingstats.com/search.php?term=U.C.+PREGNANA","Cerca su PCS")</f>
        <v/>
      </c>
    </row>
    <row r="423">
      <c r="A423" t="n">
        <v>422</v>
      </c>
      <c r="B423" t="inlineStr">
        <is>
          <t>TEAM MAZZOLA P.G.C. U23</t>
        </is>
      </c>
      <c r="C423" t="inlineStr"/>
      <c r="D423">
        <f>HYPERLINK("https://www.procyclingstats.com/search.php?term=TEAM+MAZZOLA+P.G.C.+U23","Cerca su PCS")</f>
        <v/>
      </c>
    </row>
    <row r="424">
      <c r="A424" t="n">
        <v>423</v>
      </c>
      <c r="B424" t="inlineStr">
        <is>
          <t>GIFU DAIICHI HIGH SCHOOL</t>
        </is>
      </c>
      <c r="C424" t="inlineStr"/>
      <c r="D424">
        <f>HYPERLINK("https://www.procyclingstats.com/search.php?term=GIFU+DAIICHI+HIGH+SCHOOL","Cerca su PCS")</f>
        <v/>
      </c>
    </row>
    <row r="425">
      <c r="A425" t="n">
        <v>424</v>
      </c>
      <c r="B425" t="inlineStr">
        <is>
          <t>GIALETO CICLISMO</t>
        </is>
      </c>
      <c r="C425" t="inlineStr"/>
      <c r="D425">
        <f>HYPERLINK("https://www.procyclingstats.com/search.php?term=GIALETO+CICLISMO","Cerca su PCS")</f>
        <v/>
      </c>
    </row>
    <row r="426">
      <c r="A426" t="n">
        <v>425</v>
      </c>
      <c r="B426" t="inlineStr">
        <is>
          <t>A.S.D. U.C. PISTOIESE TEAM</t>
        </is>
      </c>
      <c r="C426" t="inlineStr"/>
      <c r="D426">
        <f>HYPERLINK("https://www.procyclingstats.com/search.php?term=A.S.D.+U.C.+PISTOIESE+TEAM","Cerca su PCS")</f>
        <v/>
      </c>
    </row>
    <row r="427">
      <c r="A427" t="n">
        <v>426</v>
      </c>
      <c r="B427" t="inlineStr">
        <is>
          <t>CARISMA TEAM</t>
        </is>
      </c>
      <c r="C427" t="inlineStr"/>
      <c r="D427">
        <f>HYPERLINK("https://www.procyclingstats.com/search.php?term=CARISMA+TEAM","Cerca su PCS")</f>
        <v/>
      </c>
    </row>
    <row r="428">
      <c r="A428" t="n">
        <v>427</v>
      </c>
      <c r="B428" t="inlineStr">
        <is>
          <t>A.S.D. CICLO TEAM VALNOCE</t>
        </is>
      </c>
      <c r="C428" t="inlineStr"/>
      <c r="D428">
        <f>HYPERLINK("https://www.procyclingstats.com/search.php?term=A.S.D.+CICLO+TEAM+VALNOCE","Cerca su PCS")</f>
        <v/>
      </c>
    </row>
    <row r="429">
      <c r="A429" t="n">
        <v>428</v>
      </c>
      <c r="B429" t="inlineStr">
        <is>
          <t>ASD LE FRECCE DELL'ETNA</t>
        </is>
      </c>
      <c r="C429" t="inlineStr"/>
      <c r="D429">
        <f>HYPERLINK("https://www.procyclingstats.com/search.php?term=ASD+LE+FRECCE+DELL'ETNA","Cerca su PCS")</f>
        <v/>
      </c>
    </row>
    <row r="430">
      <c r="A430" t="n">
        <v>429</v>
      </c>
      <c r="B430" t="inlineStr">
        <is>
          <t>A.S.D. G.S. GULP! POOL VAL VIBRATA</t>
        </is>
      </c>
      <c r="C430" t="inlineStr"/>
      <c r="D430">
        <f>HYPERLINK("https://www.procyclingstats.com/search.php?term=A.S.D.+G.S.+GULP!+POOL+VAL+VIBRATA","Cerca su PCS")</f>
        <v/>
      </c>
    </row>
    <row r="431">
      <c r="A431" t="n">
        <v>430</v>
      </c>
      <c r="B431" t="inlineStr">
        <is>
          <t>CANNIBAL BAHRAIN VICTORIUS</t>
        </is>
      </c>
      <c r="C431" t="inlineStr"/>
      <c r="D431">
        <f>HYPERLINK("https://www.procyclingstats.com/search.php?term=CANNIBAL+BAHRAIN+VICTORIUS","Cerca su PCS")</f>
        <v/>
      </c>
    </row>
    <row r="432">
      <c r="A432" t="n">
        <v>431</v>
      </c>
      <c r="B432" t="inlineStr">
        <is>
          <t>JAM'S BIKE TEAM BUJA</t>
        </is>
      </c>
      <c r="C432" t="inlineStr"/>
      <c r="D432">
        <f>HYPERLINK("https://www.procyclingstats.com/search.php?term=JAM'S+BIKE+TEAM+BUJA","Cerca su PCS")</f>
        <v/>
      </c>
    </row>
    <row r="433">
      <c r="A433" t="n">
        <v>432</v>
      </c>
      <c r="B433" t="inlineStr">
        <is>
          <t>TEAM CICLI SCOTTO ISCHIA</t>
        </is>
      </c>
      <c r="C433" t="inlineStr"/>
      <c r="D433">
        <f>HYPERLINK("https://www.procyclingstats.com/search.php?term=TEAM+CICLI+SCOTTO+ISCHIA","Cerca su PCS")</f>
        <v/>
      </c>
    </row>
    <row r="434">
      <c r="A434" t="n">
        <v>433</v>
      </c>
      <c r="B434" t="inlineStr">
        <is>
          <t>POL. GHISALBESE A.S.D.</t>
        </is>
      </c>
      <c r="C434" t="inlineStr"/>
      <c r="D434">
        <f>HYPERLINK("https://www.procyclingstats.com/search.php?term=POL.+GHISALBESE+A.S.D.","Cerca su PCS")</f>
        <v/>
      </c>
    </row>
    <row r="435">
      <c r="A435" t="n">
        <v>434</v>
      </c>
      <c r="B435" t="inlineStr">
        <is>
          <t>AVC AIX EN PROVENCE</t>
        </is>
      </c>
      <c r="C435" t="inlineStr"/>
      <c r="D435">
        <f>HYPERLINK("https://www.procyclingstats.com/search.php?term=AVC+AIX+EN+PROVENCE","Cerca su PCS")</f>
        <v/>
      </c>
    </row>
    <row r="436">
      <c r="A436" t="n">
        <v>435</v>
      </c>
      <c r="B436" t="inlineStr">
        <is>
          <t>REATE CYCLING TEAM</t>
        </is>
      </c>
      <c r="C436" t="inlineStr"/>
      <c r="D436">
        <f>HYPERLINK("https://www.procyclingstats.com/search.php?term=REATE+CYCLING+TEAM","Cerca su PCS")</f>
        <v/>
      </c>
    </row>
    <row r="437">
      <c r="A437" t="n">
        <v>436</v>
      </c>
      <c r="B437" t="inlineStr">
        <is>
          <t>TEAM PROMOTECH - MG K-VIS</t>
        </is>
      </c>
      <c r="C437" t="inlineStr"/>
      <c r="D437">
        <f>HYPERLINK("https://www.procyclingstats.com/search.php?term=TEAM+PROMOTECH+-+MG+K-VIS","Cerca su PCS")</f>
        <v/>
      </c>
    </row>
    <row r="438">
      <c r="A438" t="n">
        <v>437</v>
      </c>
      <c r="B438" t="inlineStr">
        <is>
          <t>MENTECORPO TEAM</t>
        </is>
      </c>
      <c r="C438" t="inlineStr"/>
      <c r="D438">
        <f>HYPERLINK("https://www.procyclingstats.com/search.php?term=MENTECORPO+TEAM","Cerca su PCS")</f>
        <v/>
      </c>
    </row>
    <row r="439">
      <c r="A439" t="n">
        <v>438</v>
      </c>
      <c r="B439" t="inlineStr">
        <is>
          <t>CRABBE DSTNY</t>
        </is>
      </c>
      <c r="C439" t="inlineStr"/>
      <c r="D439">
        <f>HYPERLINK("https://www.procyclingstats.com/search.php?term=CRABBE+DSTNY","Cerca su PCS")</f>
        <v/>
      </c>
    </row>
    <row r="440">
      <c r="A440" t="n">
        <v>439</v>
      </c>
      <c r="B440" t="inlineStr">
        <is>
          <t>GRUPPO SPORTIVO PARMENSE</t>
        </is>
      </c>
      <c r="C440" t="inlineStr"/>
      <c r="D440">
        <f>HYPERLINK("https://www.procyclingstats.com/search.php?term=GRUPPO+SPORTIVO+PARMENSE","Cerca su PCS")</f>
        <v/>
      </c>
    </row>
    <row r="441">
      <c r="A441" t="n">
        <v>440</v>
      </c>
      <c r="B441" t="inlineStr">
        <is>
          <t>A.S.D. ORANGE BIKE TEAM</t>
        </is>
      </c>
      <c r="C441" t="inlineStr"/>
      <c r="D441">
        <f>HYPERLINK("https://www.procyclingstats.com/search.php?term=A.S.D.+ORANGE+BIKE+TEAM","Cerca su PCS")</f>
        <v/>
      </c>
    </row>
    <row r="442">
      <c r="A442" t="n">
        <v>441</v>
      </c>
      <c r="B442" t="inlineStr">
        <is>
          <t>AIRTOX - CARL RAS</t>
        </is>
      </c>
      <c r="C442" t="inlineStr"/>
      <c r="D442">
        <f>HYPERLINK("https://www.procyclingstats.com/search.php?term=AIRTOX+-+CARL+RAS","Cerca su PCS")</f>
        <v/>
      </c>
    </row>
    <row r="443">
      <c r="A443" t="n">
        <v>442</v>
      </c>
      <c r="B443" t="inlineStr">
        <is>
          <t>GROUWELS - WATERSLEY R&amp;D</t>
        </is>
      </c>
      <c r="C443" t="inlineStr"/>
      <c r="D443">
        <f>HYPERLINK("https://www.procyclingstats.com/search.php?term=GROUWELS+-+WATERSLEY+R&amp;D","Cerca su PCS")</f>
        <v/>
      </c>
    </row>
    <row r="444">
      <c r="A444" t="n">
        <v>443</v>
      </c>
      <c r="B444" t="inlineStr">
        <is>
          <t>DAL RISO AL ROSA</t>
        </is>
      </c>
      <c r="C444" t="inlineStr"/>
      <c r="D444">
        <f>HYPERLINK("https://www.procyclingstats.com/search.php?term=DAL+RISO+AL+ROSA","Cerca su PCS")</f>
        <v/>
      </c>
    </row>
    <row r="445">
      <c r="A445" t="n">
        <v>444</v>
      </c>
      <c r="B445" t="inlineStr">
        <is>
          <t>POLISH CYCLING FEDERATION</t>
        </is>
      </c>
      <c r="C445" t="inlineStr"/>
      <c r="D445">
        <f>HYPERLINK("https://www.procyclingstats.com/search.php?term=POLISH+CYCLING+FEDERATION","Cerca su PCS")</f>
        <v/>
      </c>
    </row>
    <row r="446">
      <c r="A446" t="n">
        <v>445</v>
      </c>
      <c r="B446" t="inlineStr">
        <is>
          <t>ASD TEAM MOOVEO</t>
        </is>
      </c>
      <c r="C446" t="inlineStr"/>
      <c r="D446">
        <f>HYPERLINK("https://www.procyclingstats.com/search.php?term=ASD+TEAM+MOOVEO","Cerca su PCS")</f>
        <v/>
      </c>
    </row>
    <row r="447">
      <c r="A447" t="n">
        <v>446</v>
      </c>
      <c r="B447" t="inlineStr">
        <is>
          <t>VPT WHY SPORT</t>
        </is>
      </c>
      <c r="C447" t="inlineStr"/>
      <c r="D447">
        <f>HYPERLINK("https://www.procyclingstats.com/search.php?term=VPT+WHY+SPORT","Cerca su PCS")</f>
        <v/>
      </c>
    </row>
    <row r="448">
      <c r="A448" t="n">
        <v>447</v>
      </c>
      <c r="B448" t="inlineStr">
        <is>
          <t>TEAM GAIAPLAST BIBANESE</t>
        </is>
      </c>
      <c r="C448" t="inlineStr"/>
      <c r="D448">
        <f>HYPERLINK("https://www.procyclingstats.com/search.php?term=TEAM+GAIAPLAST+BIBANESE","Cerca su PCS")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2026-07-15T15:21:13Z</dcterms:created>
  <dcterms:modified xsi:type="dcterms:W3CDTF">2026-07-15T15:21:13Z</dcterms:modified>
</cp:coreProperties>
</file>
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ora mancanti 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16" customWidth="1" min="4" max="4"/>
    <col width="46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Nome (FCI)</t>
        </is>
      </c>
      <c r="C1" s="1" t="inlineStr">
        <is>
          <t>Team (FCI)</t>
        </is>
      </c>
      <c r="D1" s="1" t="inlineStr">
        <is>
          <t>Cerca su PCS</t>
        </is>
      </c>
      <c r="E1" s="1" t="inlineStr">
        <is>
          <t>Link profilo trovato</t>
        </is>
      </c>
      <c r="F1" s="1" t="inlineStr">
        <is>
          <t>Note</t>
        </is>
      </c>
    </row>
    <row r="2">
      <c r="A2" t="n">
        <v>1</v>
      </c>
      <c r="B2" t="inlineStr">
        <is>
          <t>ROCCELLA MARCO</t>
        </is>
      </c>
      <c r="C2" t="inlineStr">
        <is>
          <t>MULTICAR GRUPPO AMARU'</t>
        </is>
      </c>
      <c r="D2">
        <f>HYPERLINK("https://www.procyclingstats.com/search.php?term=ROCCELLA+MARCO","Cerca su PCS")</f>
        <v/>
      </c>
      <c r="E2" t="inlineStr"/>
      <c r="F2" t="inlineStr"/>
    </row>
    <row r="3">
      <c r="A3" t="n">
        <v>2</v>
      </c>
      <c r="B3" t="inlineStr">
        <is>
          <t>GERACI SALVATORE</t>
        </is>
      </c>
      <c r="C3" t="inlineStr">
        <is>
          <t>MULTICAR GRUPPO AMARU'</t>
        </is>
      </c>
      <c r="D3">
        <f>HYPERLINK("https://www.procyclingstats.com/search.php?term=GERACI+SALVATORE","Cerca su PCS")</f>
        <v/>
      </c>
      <c r="E3" t="inlineStr"/>
      <c r="F3" t="inlineStr"/>
    </row>
    <row r="4">
      <c r="A4" t="n">
        <v>3</v>
      </c>
      <c r="B4" t="inlineStr">
        <is>
          <t>MARETTA GABRIELE</t>
        </is>
      </c>
      <c r="C4" t="inlineStr">
        <is>
          <t>MADONE-TEAM BIKE SICILIA</t>
        </is>
      </c>
      <c r="D4">
        <f>HYPERLINK("https://www.procyclingstats.com/search.php?term=MARETTA+GABRIELE","Cerca su PCS")</f>
        <v/>
      </c>
      <c r="E4" t="inlineStr"/>
      <c r="F4" t="inlineStr"/>
    </row>
    <row r="5">
      <c r="A5" t="n">
        <v>4</v>
      </c>
      <c r="B5" t="inlineStr">
        <is>
          <t>MARCHIONE GIACOMO</t>
        </is>
      </c>
      <c r="C5" t="inlineStr">
        <is>
          <t>MADONE-TEAM BIKE SICILIA</t>
        </is>
      </c>
      <c r="D5">
        <f>HYPERLINK("https://www.procyclingstats.com/search.php?term=MARCHIONE+GIACOMO","Cerca su PCS")</f>
        <v/>
      </c>
      <c r="E5" t="inlineStr"/>
      <c r="F5" t="inlineStr"/>
    </row>
    <row r="6">
      <c r="A6" t="n">
        <v>5</v>
      </c>
      <c r="B6" t="inlineStr">
        <is>
          <t>SCHEMBARI FLAVIO</t>
        </is>
      </c>
      <c r="C6" t="inlineStr">
        <is>
          <t>MULTICAR GRUPPO AMARU'</t>
        </is>
      </c>
      <c r="D6">
        <f>HYPERLINK("https://www.procyclingstats.com/search.php?term=SCHEMBARI+FLAVIO","Cerca su PCS")</f>
        <v/>
      </c>
      <c r="E6" t="inlineStr"/>
      <c r="F6" t="inlineStr"/>
    </row>
    <row r="7">
      <c r="A7" t="n">
        <v>6</v>
      </c>
      <c r="B7" t="inlineStr">
        <is>
          <t>SAVEKIN ILIA</t>
        </is>
      </c>
      <c r="C7" t="inlineStr">
        <is>
          <t>NEUTRAL TEAM</t>
        </is>
      </c>
      <c r="D7">
        <f>HYPERLINK("https://www.procyclingstats.com/search.php?term=SAVEKIN+ILIA","Cerca su PCS")</f>
        <v/>
      </c>
      <c r="E7" t="inlineStr"/>
      <c r="F7" t="inlineStr"/>
    </row>
    <row r="8">
      <c r="A8" t="n">
        <v>7</v>
      </c>
      <c r="B8" t="inlineStr">
        <is>
          <t>KONONENKO VALERIIA</t>
        </is>
      </c>
      <c r="C8" t="inlineStr">
        <is>
          <t>FANINI PRO CYCLING</t>
        </is>
      </c>
      <c r="D8">
        <f>HYPERLINK("https://www.procyclingstats.com/search.php?term=KONONENKO+VALERIIA","Cerca su PCS")</f>
        <v/>
      </c>
      <c r="E8" t="inlineStr"/>
      <c r="F8" t="inlineStr"/>
    </row>
    <row r="9">
      <c r="A9" t="n">
        <v>8</v>
      </c>
      <c r="B9" t="inlineStr">
        <is>
          <t>DELL'OLIO FRANCESCO</t>
        </is>
      </c>
      <c r="C9" t="inlineStr">
        <is>
          <t>TEAM VANGI TOMMASINI IL PIRATA</t>
        </is>
      </c>
      <c r="D9">
        <f>HYPERLINK("https://www.procyclingstats.com/search.php?term=DELL'OLIO+FRANCESCO","Cerca su PCS")</f>
        <v/>
      </c>
      <c r="E9" t="inlineStr"/>
      <c r="F9" t="inlineStr"/>
    </row>
    <row r="10">
      <c r="A10" t="n">
        <v>9</v>
      </c>
      <c r="B10" t="inlineStr">
        <is>
          <t>MANNU FRANCESCO</t>
        </is>
      </c>
      <c r="C10" t="inlineStr">
        <is>
          <t>CANNEDU ITTIRI "A. MANCA" ASD</t>
        </is>
      </c>
      <c r="D10">
        <f>HYPERLINK("https://www.procyclingstats.com/search.php?term=MANNU+FRANCESCO","Cerca su PCS")</f>
        <v/>
      </c>
      <c r="E10" t="inlineStr"/>
      <c r="F10" t="inlineStr"/>
    </row>
    <row r="11">
      <c r="A11" t="n">
        <v>10</v>
      </c>
      <c r="B11" t="inlineStr">
        <is>
          <t>FOLEGANI MATTIA</t>
        </is>
      </c>
      <c r="C11" t="inlineStr">
        <is>
          <t>DUEPPI CYCLING PROJECT</t>
        </is>
      </c>
      <c r="D11">
        <f>HYPERLINK("https://www.procyclingstats.com/search.php?term=FOLEGANI+MATTIA","Cerca su PCS")</f>
        <v/>
      </c>
      <c r="E11" t="inlineStr"/>
      <c r="F11" t="inlineStr"/>
    </row>
    <row r="12">
      <c r="A12" t="n">
        <v>11</v>
      </c>
      <c r="B12" t="inlineStr">
        <is>
          <t>MURA ANDREA</t>
        </is>
      </c>
      <c r="C12" t="inlineStr">
        <is>
          <t>POOL BIKE SERRAMANNA</t>
        </is>
      </c>
      <c r="D12">
        <f>HYPERLINK("https://www.procyclingstats.com/search.php?term=MURA+ANDREA","Cerca su PCS")</f>
        <v/>
      </c>
      <c r="E12" t="inlineStr"/>
      <c r="F12" t="inlineStr"/>
    </row>
    <row r="13">
      <c r="A13" t="n">
        <v>12</v>
      </c>
      <c r="B13" t="inlineStr">
        <is>
          <t>BANDINI FILIPPO</t>
        </is>
      </c>
      <c r="C13" t="inlineStr">
        <is>
          <t>TEAM GENERAL SYSTEM</t>
        </is>
      </c>
      <c r="D13">
        <f>HYPERLINK("https://www.procyclingstats.com/search.php?term=BANDINI+FILIPPO","Cerca su PCS")</f>
        <v/>
      </c>
      <c r="E13" t="inlineStr"/>
      <c r="F13" t="inlineStr"/>
    </row>
    <row r="14">
      <c r="A14" t="n">
        <v>13</v>
      </c>
      <c r="B14" t="inlineStr">
        <is>
          <t>FEDERICI FILIPPO</t>
        </is>
      </c>
      <c r="C14" t="inlineStr">
        <is>
          <t>TEAM VANGI TOMMASINI IL PIRATA</t>
        </is>
      </c>
      <c r="D14">
        <f>HYPERLINK("https://www.procyclingstats.com/search.php?term=FEDERICI+FILIPPO","Cerca su PCS")</f>
        <v/>
      </c>
      <c r="E14" t="inlineStr"/>
      <c r="F14" t="inlineStr"/>
    </row>
    <row r="15">
      <c r="A15" t="n">
        <v>14</v>
      </c>
      <c r="B15" t="inlineStr">
        <is>
          <t>GENTILE ANGELO</t>
        </is>
      </c>
      <c r="C15" t="inlineStr">
        <is>
          <t>G.S. BAREGGESE A.S.D</t>
        </is>
      </c>
      <c r="D15">
        <f>HYPERLINK("https://www.procyclingstats.com/search.php?term=GENTILE+ANGELO","Cerca su PCS")</f>
        <v/>
      </c>
      <c r="E15" t="inlineStr"/>
      <c r="F15" t="inlineStr"/>
    </row>
    <row r="16">
      <c r="A16" t="n">
        <v>15</v>
      </c>
      <c r="B16" t="inlineStr">
        <is>
          <t>SECHI MARCO</t>
        </is>
      </c>
      <c r="C16" t="inlineStr">
        <is>
          <t>CANNEDU ITTIRI "A. MANCA" ASD</t>
        </is>
      </c>
      <c r="D16">
        <f>HYPERLINK("https://www.procyclingstats.com/search.php?term=SECHI+MARCO","Cerca su PCS")</f>
        <v/>
      </c>
      <c r="E16" t="inlineStr"/>
      <c r="F16" t="inlineStr"/>
    </row>
    <row r="17">
      <c r="A17" t="n">
        <v>16</v>
      </c>
      <c r="B17" t="inlineStr">
        <is>
          <t>RANIERI MATTEO</t>
        </is>
      </c>
      <c r="C17" t="inlineStr">
        <is>
          <t>TEAM GENERAL SYSTEM</t>
        </is>
      </c>
      <c r="D17">
        <f>HYPERLINK("https://www.procyclingstats.com/search.php?term=RANIERI+MATTEO","Cerca su PCS")</f>
        <v/>
      </c>
      <c r="E17" t="inlineStr"/>
      <c r="F17" t="inlineStr"/>
    </row>
    <row r="18">
      <c r="A18" t="n">
        <v>17</v>
      </c>
      <c r="B18" t="inlineStr">
        <is>
          <t>STELLA ANTONIO TANCREDI</t>
        </is>
      </c>
      <c r="C18" t="inlineStr">
        <is>
          <t>STAR CYCLING LAB</t>
        </is>
      </c>
      <c r="D18">
        <f>HYPERLINK("https://www.procyclingstats.com/search.php?term=STELLA+ANTONIO+TANCREDI","Cerca su PCS")</f>
        <v/>
      </c>
      <c r="E18" t="inlineStr"/>
      <c r="F18" t="inlineStr"/>
    </row>
    <row r="19">
      <c r="A19" t="n">
        <v>18</v>
      </c>
      <c r="B19" t="inlineStr">
        <is>
          <t>BERARDI MICHELE</t>
        </is>
      </c>
      <c r="C19" t="inlineStr">
        <is>
          <t>SIDERMEC - SLP</t>
        </is>
      </c>
      <c r="D19">
        <f>HYPERLINK("https://www.procyclingstats.com/search.php?term=BERARDI+MICHELE","Cerca su PCS")</f>
        <v/>
      </c>
      <c r="E19" t="inlineStr"/>
      <c r="F19" t="inlineStr"/>
    </row>
    <row r="20">
      <c r="A20" t="n">
        <v>19</v>
      </c>
      <c r="B20" t="inlineStr">
        <is>
          <t>SPAMPINATO GIANLUCA</t>
        </is>
      </c>
      <c r="C20" t="inlineStr">
        <is>
          <t>MADONE-TEAM BIKE SICILIA</t>
        </is>
      </c>
      <c r="D20">
        <f>HYPERLINK("https://www.procyclingstats.com/search.php?term=SPAMPINATO+GIANLUCA","Cerca su PCS")</f>
        <v/>
      </c>
      <c r="E20" t="inlineStr"/>
      <c r="F20" t="inlineStr"/>
    </row>
    <row r="21">
      <c r="A21" t="n">
        <v>20</v>
      </c>
      <c r="B21" t="inlineStr">
        <is>
          <t>COPPOLINO EDOARDO JOE</t>
        </is>
      </c>
      <c r="C21" t="inlineStr">
        <is>
          <t>CYCLING TEAM NIAL NIZZOLI ALMO</t>
        </is>
      </c>
      <c r="D21">
        <f>HYPERLINK("https://www.procyclingstats.com/search.php?term=COPPOLINO+EDOARDO+JOE","Cerca su PCS")</f>
        <v/>
      </c>
      <c r="E21" t="inlineStr"/>
      <c r="F21" t="inlineStr"/>
    </row>
    <row r="22">
      <c r="A22" t="n">
        <v>21</v>
      </c>
      <c r="B22" t="inlineStr">
        <is>
          <t>MANCA SAMUELE</t>
        </is>
      </c>
      <c r="C22" t="inlineStr">
        <is>
          <t>SESTU BIKE A.S.D.</t>
        </is>
      </c>
      <c r="D22">
        <f>HYPERLINK("https://www.procyclingstats.com/search.php?term=MANCA+SAMUELE","Cerca su PCS")</f>
        <v/>
      </c>
      <c r="E22" t="inlineStr"/>
      <c r="F22" t="inlineStr"/>
    </row>
    <row r="23">
      <c r="A23" t="n">
        <v>22</v>
      </c>
      <c r="B23" t="inlineStr">
        <is>
          <t>MOCCI EDOARDO</t>
        </is>
      </c>
      <c r="C23" t="inlineStr">
        <is>
          <t>S. C. CENE A. S. D.</t>
        </is>
      </c>
      <c r="D23">
        <f>HYPERLINK("https://www.procyclingstats.com/search.php?term=MOCCI+EDOARDO","Cerca su PCS")</f>
        <v/>
      </c>
      <c r="E23" t="inlineStr"/>
      <c r="F23" t="inlineStr"/>
    </row>
    <row r="24">
      <c r="A24" t="n">
        <v>23</v>
      </c>
      <c r="B24" t="inlineStr">
        <is>
          <t>CONGIU FILIPPO</t>
        </is>
      </c>
      <c r="C24" t="inlineStr">
        <is>
          <t>NURRI-ORROLI MTB A.S.D.</t>
        </is>
      </c>
      <c r="D24">
        <f>HYPERLINK("https://www.procyclingstats.com/search.php?term=CONGIU+FILIPPO","Cerca su PCS")</f>
        <v/>
      </c>
      <c r="E24" t="inlineStr"/>
      <c r="F24" t="inlineStr"/>
    </row>
    <row r="25">
      <c r="A25" t="n">
        <v>24</v>
      </c>
      <c r="B25" t="inlineStr">
        <is>
          <t>DI BARTOLO LUIGI</t>
        </is>
      </c>
      <c r="C25" t="inlineStr">
        <is>
          <t>MULTICAR GRUPPO AMARU'</t>
        </is>
      </c>
      <c r="D25">
        <f>HYPERLINK("https://www.procyclingstats.com/search.php?term=DI+BARTOLO+LUIGI","Cerca su PCS")</f>
        <v/>
      </c>
      <c r="E25" t="inlineStr"/>
      <c r="F25" t="inlineStr"/>
    </row>
    <row r="26">
      <c r="A26" t="n">
        <v>25</v>
      </c>
      <c r="B26" t="inlineStr">
        <is>
          <t>ALFIER ARI IVO</t>
        </is>
      </c>
      <c r="C26" t="inlineStr">
        <is>
          <t>V.C. ORSAGO - OROGILDO</t>
        </is>
      </c>
      <c r="D26">
        <f>HYPERLINK("https://www.procyclingstats.com/search.php?term=ALFIER+ARI+IVO","Cerca su PCS")</f>
        <v/>
      </c>
      <c r="E26" t="inlineStr"/>
      <c r="F26" t="inlineStr"/>
    </row>
    <row r="27">
      <c r="A27" t="n">
        <v>26</v>
      </c>
      <c r="B27" t="inlineStr">
        <is>
          <t>BRESOLIN FEDERICO</t>
        </is>
      </c>
      <c r="C27" t="inlineStr">
        <is>
          <t>A.S.D. POSTUMIA 73 D.L. CICLISMO</t>
        </is>
      </c>
      <c r="D27">
        <f>HYPERLINK("https://www.procyclingstats.com/search.php?term=BRESOLIN+FEDERICO","Cerca su PCS")</f>
        <v/>
      </c>
      <c r="E27" t="inlineStr"/>
      <c r="F27" t="inlineStr"/>
    </row>
    <row r="28">
      <c r="A28" t="n">
        <v>27</v>
      </c>
      <c r="B28" t="inlineStr">
        <is>
          <t>NICCOLINI STEFANO</t>
        </is>
      </c>
      <c r="C28" t="inlineStr">
        <is>
          <t>POLISPORTIVA MONSUMMANESE</t>
        </is>
      </c>
      <c r="D28">
        <f>HYPERLINK("https://www.procyclingstats.com/search.php?term=NICCOLINI+STEFANO","Cerca su PCS")</f>
        <v/>
      </c>
      <c r="E28" t="inlineStr"/>
      <c r="F28" t="inlineStr"/>
    </row>
    <row r="29">
      <c r="A29" t="n">
        <v>28</v>
      </c>
      <c r="B29" t="inlineStr">
        <is>
          <t>SOLLA LEONARDO</t>
        </is>
      </c>
      <c r="C29" t="inlineStr">
        <is>
          <t>S.C. MONTEPONI A.S.D.</t>
        </is>
      </c>
      <c r="D29">
        <f>HYPERLINK("https://www.procyclingstats.com/search.php?term=SOLLA+LEONARDO","Cerca su PCS")</f>
        <v/>
      </c>
      <c r="E29" t="inlineStr"/>
      <c r="F29" t="inlineStr"/>
    </row>
    <row r="30">
      <c r="A30" t="n">
        <v>29</v>
      </c>
      <c r="B30" t="inlineStr">
        <is>
          <t>PIRRONE MATTEO</t>
        </is>
      </c>
      <c r="C30" t="inlineStr">
        <is>
          <t>A.S.D. PROBIKE ERICE</t>
        </is>
      </c>
      <c r="D30">
        <f>HYPERLINK("https://www.procyclingstats.com/search.php?term=PIRRONE+MATTEO","Cerca su PCS")</f>
        <v/>
      </c>
      <c r="E30" t="inlineStr"/>
      <c r="F30" t="inlineStr"/>
    </row>
    <row r="31">
      <c r="A31" t="n">
        <v>30</v>
      </c>
      <c r="B31" t="inlineStr">
        <is>
          <t>FOGLI TOMMASO</t>
        </is>
      </c>
      <c r="C31" t="inlineStr">
        <is>
          <t>TEAM NERI SOTTOLI LUCCHINI ENERGY</t>
        </is>
      </c>
      <c r="D31">
        <f>HYPERLINK("https://www.procyclingstats.com/search.php?term=FOGLI+TOMMASO","Cerca su PCS")</f>
        <v/>
      </c>
      <c r="E31" t="inlineStr"/>
      <c r="F31" t="inlineStr"/>
    </row>
    <row r="32">
      <c r="A32" t="n">
        <v>31</v>
      </c>
      <c r="B32" t="inlineStr">
        <is>
          <t>IETTA EDOARDO</t>
        </is>
      </c>
      <c r="C32" t="inlineStr">
        <is>
          <t>G.S.GIOVANI GIUSSANESI A.S.D.</t>
        </is>
      </c>
      <c r="D32">
        <f>HYPERLINK("https://www.procyclingstats.com/search.php?term=IETTA+EDOARDO","Cerca su PCS")</f>
        <v/>
      </c>
      <c r="E32" t="inlineStr"/>
      <c r="F32" t="inlineStr"/>
    </row>
    <row r="33">
      <c r="A33" t="n">
        <v>32</v>
      </c>
      <c r="B33" t="inlineStr">
        <is>
          <t>MILANI LORENZO</t>
        </is>
      </c>
      <c r="C33" t="inlineStr">
        <is>
          <t>POOL CANTU' GB TEAM A.S.D.</t>
        </is>
      </c>
      <c r="D33">
        <f>HYPERLINK("https://www.procyclingstats.com/search.php?term=MILANI+LORENZO","Cerca su PCS")</f>
        <v/>
      </c>
      <c r="E33" t="inlineStr"/>
      <c r="F33" t="inlineStr"/>
    </row>
    <row r="34">
      <c r="A34" t="n">
        <v>33</v>
      </c>
      <c r="B34" t="inlineStr">
        <is>
          <t>ARGENTINO SALVATORE</t>
        </is>
      </c>
      <c r="C34" t="inlineStr">
        <is>
          <t>STAR CYCLING LAB</t>
        </is>
      </c>
      <c r="D34">
        <f>HYPERLINK("https://www.procyclingstats.com/search.php?term=ARGENTINO+SALVATORE","Cerca su PCS")</f>
        <v/>
      </c>
      <c r="E34" t="inlineStr"/>
      <c r="F34" t="inlineStr"/>
    </row>
    <row r="35">
      <c r="A35" t="n">
        <v>34</v>
      </c>
      <c r="B35" t="inlineStr">
        <is>
          <t>BERBERI ANGELO</t>
        </is>
      </c>
      <c r="C35" t="inlineStr">
        <is>
          <t>BIESSE - CARRERA - PREMAC</t>
        </is>
      </c>
      <c r="D35">
        <f>HYPERLINK("https://www.procyclingstats.com/search.php?term=BERBERI+ANGELO","Cerca su PCS")</f>
        <v/>
      </c>
      <c r="E35" t="inlineStr"/>
      <c r="F35" t="inlineStr"/>
    </row>
    <row r="36">
      <c r="A36" t="n">
        <v>35</v>
      </c>
      <c r="B36" t="inlineStr">
        <is>
          <t>PINNA ROBERTO</t>
        </is>
      </c>
      <c r="C36" t="inlineStr">
        <is>
          <t>SIDERMEC - SLP</t>
        </is>
      </c>
      <c r="D36">
        <f>HYPERLINK("https://www.procyclingstats.com/search.php?term=PINNA+ROBERTO","Cerca su PCS")</f>
        <v/>
      </c>
      <c r="E36" t="inlineStr"/>
      <c r="F36" t="inlineStr"/>
    </row>
    <row r="37">
      <c r="A37" t="n">
        <v>36</v>
      </c>
      <c r="B37" t="inlineStr">
        <is>
          <t>SERINI MATTIA</t>
        </is>
      </c>
      <c r="C37" t="inlineStr">
        <is>
          <t>ASD PEDALE CASALESE ARMOFER</t>
        </is>
      </c>
      <c r="D37">
        <f>HYPERLINK("https://www.procyclingstats.com/search.php?term=SERINI+MATTIA","Cerca su PCS")</f>
        <v/>
      </c>
      <c r="E37" t="inlineStr"/>
      <c r="F37" t="inlineStr"/>
    </row>
    <row r="38">
      <c r="A38" t="n">
        <v>37</v>
      </c>
      <c r="B38" t="inlineStr">
        <is>
          <t>ACTIS SAMUELE</t>
        </is>
      </c>
      <c r="C38" t="inlineStr">
        <is>
          <t>CICLISTICA ROSTESE</t>
        </is>
      </c>
      <c r="D38">
        <f>HYPERLINK("https://www.procyclingstats.com/search.php?term=ACTIS+SAMUELE","Cerca su PCS")</f>
        <v/>
      </c>
      <c r="E38" t="inlineStr"/>
      <c r="F38" t="inlineStr"/>
    </row>
    <row r="39">
      <c r="A39" t="n">
        <v>38</v>
      </c>
      <c r="B39" t="inlineStr">
        <is>
          <t>BANNER WIL</t>
        </is>
      </c>
      <c r="C39" t="inlineStr">
        <is>
          <t>ST KILDA CYCLING CLUB</t>
        </is>
      </c>
      <c r="D39">
        <f>HYPERLINK("https://www.procyclingstats.com/search.php?term=BANNER+WIL","Cerca su PCS")</f>
        <v/>
      </c>
      <c r="E39" t="inlineStr"/>
      <c r="F39" t="inlineStr"/>
    </row>
    <row r="40">
      <c r="A40" t="n">
        <v>39</v>
      </c>
      <c r="B40" t="inlineStr">
        <is>
          <t>MOLLO GIANMARIA</t>
        </is>
      </c>
      <c r="C40" t="inlineStr">
        <is>
          <t>U.C. PIASCO</t>
        </is>
      </c>
      <c r="D40">
        <f>HYPERLINK("https://www.procyclingstats.com/search.php?term=MOLLO+GIANMARIA","Cerca su PCS")</f>
        <v/>
      </c>
      <c r="E40" t="inlineStr"/>
      <c r="F40" t="inlineStr"/>
    </row>
    <row r="41">
      <c r="A41" t="n">
        <v>40</v>
      </c>
      <c r="B41" t="inlineStr">
        <is>
          <t>ASTORRI MARTINO</t>
        </is>
      </c>
      <c r="C41" t="inlineStr">
        <is>
          <t>DAL RISO AL ROSA</t>
        </is>
      </c>
      <c r="D41">
        <f>HYPERLINK("https://www.procyclingstats.com/search.php?term=ASTORRI+MARTINO","Cerca su PCS")</f>
        <v/>
      </c>
      <c r="E41" t="inlineStr"/>
      <c r="F41" t="inlineStr"/>
    </row>
    <row r="42">
      <c r="A42" t="n">
        <v>41</v>
      </c>
      <c r="B42" t="inlineStr">
        <is>
          <t>VILLA MATTEO</t>
        </is>
      </c>
      <c r="C42" t="inlineStr">
        <is>
          <t>S.C. ROMANESE ASD</t>
        </is>
      </c>
      <c r="D42">
        <f>HYPERLINK("https://www.procyclingstats.com/search.php?term=VILLA+MATTEO","Cerca su PCS")</f>
        <v/>
      </c>
      <c r="E42" t="inlineStr"/>
      <c r="F42" t="inlineStr"/>
    </row>
    <row r="43">
      <c r="A43" t="n">
        <v>42</v>
      </c>
      <c r="B43" t="inlineStr">
        <is>
          <t>PITTA JACOPO</t>
        </is>
      </c>
      <c r="C43" t="inlineStr">
        <is>
          <t>TEAM TIEPOLO U19 DEVO</t>
        </is>
      </c>
      <c r="D43">
        <f>HYPERLINK("https://www.procyclingstats.com/search.php?term=PITTA+JACOPO","Cerca su PCS")</f>
        <v/>
      </c>
      <c r="E43" t="inlineStr"/>
      <c r="F43" t="inlineStr"/>
    </row>
    <row r="44">
      <c r="A44" t="n">
        <v>43</v>
      </c>
      <c r="B44" t="inlineStr">
        <is>
          <t>NICOSIA TOMMASO</t>
        </is>
      </c>
      <c r="C44" t="inlineStr">
        <is>
          <t>U.C.A.B. 1925 BIELLA - SEMPERLUX</t>
        </is>
      </c>
      <c r="D44">
        <f>HYPERLINK("https://www.procyclingstats.com/search.php?term=NICOSIA+TOMMASO","Cerca su PCS")</f>
        <v/>
      </c>
      <c r="E44" t="inlineStr"/>
      <c r="F44" t="inlineStr"/>
    </row>
    <row r="45">
      <c r="A45" t="n">
        <v>44</v>
      </c>
      <c r="B45" t="inlineStr">
        <is>
          <t>GENOVESE RICCARDO</t>
        </is>
      </c>
      <c r="C45" t="inlineStr">
        <is>
          <t>V.C. ORSAGO - OROGILDO</t>
        </is>
      </c>
      <c r="D45">
        <f>HYPERLINK("https://www.procyclingstats.com/search.php?term=GENOVESE+RICCARDO","Cerca su PCS")</f>
        <v/>
      </c>
      <c r="E45" t="inlineStr"/>
      <c r="F45" t="inlineStr"/>
    </row>
    <row r="46">
      <c r="A46" t="n">
        <v>45</v>
      </c>
      <c r="B46" t="inlineStr">
        <is>
          <t>GIOVANNINI LEONARDO</t>
        </is>
      </c>
      <c r="C46" t="inlineStr">
        <is>
          <t>U.C. PIASCO</t>
        </is>
      </c>
      <c r="D46">
        <f>HYPERLINK("https://www.procyclingstats.com/search.php?term=GIOVANNINI+LEONARDO","Cerca su PCS")</f>
        <v/>
      </c>
      <c r="E46" t="inlineStr"/>
      <c r="F46" t="inlineStr"/>
    </row>
    <row r="47">
      <c r="A47" t="n">
        <v>46</v>
      </c>
      <c r="B47" t="inlineStr">
        <is>
          <t>VERONI RICCARDO</t>
        </is>
      </c>
      <c r="C47" t="inlineStr">
        <is>
          <t>CYCLING TEAM NIAL NIZZOLI ALMO</t>
        </is>
      </c>
      <c r="D47">
        <f>HYPERLINK("https://www.procyclingstats.com/search.php?term=VERONI+RICCARDO","Cerca su PCS")</f>
        <v/>
      </c>
      <c r="E47" t="inlineStr"/>
      <c r="F47" t="inlineStr"/>
    </row>
    <row r="48">
      <c r="A48" t="n">
        <v>47</v>
      </c>
      <c r="B48" t="inlineStr">
        <is>
          <t>CASTELLANI CESARE</t>
        </is>
      </c>
      <c r="C48" t="inlineStr">
        <is>
          <t>POOL CANTU' GB TEAM A.S.D.</t>
        </is>
      </c>
      <c r="D48">
        <f>HYPERLINK("https://www.procyclingstats.com/search.php?term=CASTELLANI+CESARE","Cerca su PCS")</f>
        <v/>
      </c>
      <c r="E48" t="inlineStr"/>
      <c r="F48" t="inlineStr"/>
    </row>
    <row r="49">
      <c r="A49" t="n">
        <v>48</v>
      </c>
      <c r="B49" t="inlineStr">
        <is>
          <t>COMETTO FILIPPO</t>
        </is>
      </c>
      <c r="C49" t="inlineStr">
        <is>
          <t>U.C. PIASCO</t>
        </is>
      </c>
      <c r="D49">
        <f>HYPERLINK("https://www.procyclingstats.com/search.php?term=COMETTO+FILIPPO","Cerca su PCS")</f>
        <v/>
      </c>
      <c r="E49" t="inlineStr"/>
      <c r="F49" t="inlineStr"/>
    </row>
    <row r="50">
      <c r="A50" t="n">
        <v>49</v>
      </c>
      <c r="B50" t="inlineStr">
        <is>
          <t>PASSONI MICHELE</t>
        </is>
      </c>
      <c r="C50" t="inlineStr">
        <is>
          <t>U.C.A.B. 1925 BIELLA - SEMPERLUX</t>
        </is>
      </c>
      <c r="D50">
        <f>HYPERLINK("https://www.procyclingstats.com/search.php?term=PASSONI+MICHELE","Cerca su PCS")</f>
        <v/>
      </c>
      <c r="E50" t="inlineStr"/>
      <c r="F50" t="inlineStr"/>
    </row>
    <row r="51">
      <c r="A51" t="n">
        <v>50</v>
      </c>
      <c r="B51" t="inlineStr">
        <is>
          <t>NIERI NICCOLO'</t>
        </is>
      </c>
      <c r="C51" t="inlineStr">
        <is>
          <t>TEAM VANGI TOMMASINI IL PIRATA</t>
        </is>
      </c>
      <c r="D51">
        <f>HYPERLINK("https://www.procyclingstats.com/search.php?term=NIERI+NICCOLO'","Cerca su PCS")</f>
        <v/>
      </c>
      <c r="E51" t="inlineStr"/>
      <c r="F51" t="inlineStr"/>
    </row>
    <row r="52">
      <c r="A52" t="n">
        <v>51</v>
      </c>
      <c r="B52" t="inlineStr">
        <is>
          <t>ORI ENEA</t>
        </is>
      </c>
      <c r="C52" t="inlineStr">
        <is>
          <t>CYCLING TEAM NIAL NIZZOLI ALMO</t>
        </is>
      </c>
      <c r="D52">
        <f>HYPERLINK("https://www.procyclingstats.com/search.php?term=ORI+ENEA","Cerca su PCS")</f>
        <v/>
      </c>
      <c r="E52" t="inlineStr"/>
      <c r="F52" t="inlineStr"/>
    </row>
    <row r="53">
      <c r="A53" t="n">
        <v>52</v>
      </c>
      <c r="B53" t="inlineStr">
        <is>
          <t>RANDAZZO VITO</t>
        </is>
      </c>
      <c r="C53" t="inlineStr">
        <is>
          <t>MADONE-TEAM BIKE SICILIA</t>
        </is>
      </c>
      <c r="D53">
        <f>HYPERLINK("https://www.procyclingstats.com/search.php?term=RANDAZZO+VITO","Cerca su PCS")</f>
        <v/>
      </c>
      <c r="E53" t="inlineStr"/>
      <c r="F53" t="inlineStr"/>
    </row>
    <row r="54">
      <c r="A54" t="n">
        <v>53</v>
      </c>
      <c r="B54" t="inlineStr">
        <is>
          <t>AMBROSIONI SIMONE</t>
        </is>
      </c>
      <c r="C54" t="inlineStr">
        <is>
          <t>E' VALTELLINA PEDALE MORBEGNESE</t>
        </is>
      </c>
      <c r="D54">
        <f>HYPERLINK("https://www.procyclingstats.com/search.php?term=AMBROSIONI+SIMONE","Cerca su PCS")</f>
        <v/>
      </c>
      <c r="E54" t="inlineStr"/>
      <c r="F54" t="inlineStr"/>
    </row>
    <row r="55">
      <c r="A55" t="n">
        <v>54</v>
      </c>
      <c r="B55" t="inlineStr">
        <is>
          <t>CASABONA IVAN ALDO</t>
        </is>
      </c>
      <c r="C55" t="inlineStr">
        <is>
          <t>G.S. BAREGGESE A.S.D</t>
        </is>
      </c>
      <c r="D55">
        <f>HYPERLINK("https://www.procyclingstats.com/search.php?term=CASABONA+IVAN+ALDO","Cerca su PCS")</f>
        <v/>
      </c>
      <c r="E55" t="inlineStr"/>
      <c r="F55" t="inlineStr"/>
    </row>
    <row r="56">
      <c r="A56" t="n">
        <v>55</v>
      </c>
      <c r="B56" t="inlineStr">
        <is>
          <t>GALFRE' JACOPO</t>
        </is>
      </c>
      <c r="C56" t="inlineStr">
        <is>
          <t>U.C. PIASCO</t>
        </is>
      </c>
      <c r="D56">
        <f>HYPERLINK("https://www.procyclingstats.com/search.php?term=GALFRE'+JACOPO","Cerca su PCS")</f>
        <v/>
      </c>
      <c r="E56" t="inlineStr"/>
      <c r="F56" t="inlineStr"/>
    </row>
    <row r="57">
      <c r="A57" t="n">
        <v>56</v>
      </c>
      <c r="B57" t="inlineStr">
        <is>
          <t>MANTOVANI GIULIO</t>
        </is>
      </c>
      <c r="C57" t="inlineStr">
        <is>
          <t>STAR CYCLING LAB</t>
        </is>
      </c>
      <c r="D57">
        <f>HYPERLINK("https://www.procyclingstats.com/search.php?term=MANTOVANI+GIULIO","Cerca su PCS")</f>
        <v/>
      </c>
      <c r="E57" t="inlineStr"/>
      <c r="F57" t="inlineStr"/>
    </row>
    <row r="58">
      <c r="A58" t="n">
        <v>57</v>
      </c>
      <c r="B58" t="inlineStr">
        <is>
          <t>LISORINI LEONE</t>
        </is>
      </c>
      <c r="C58" t="inlineStr">
        <is>
          <t>NORDEST PETRUCCI ASSALI STEFEN</t>
        </is>
      </c>
      <c r="D58">
        <f>HYPERLINK("https://www.procyclingstats.com/search.php?term=LISORINI+LEONE","Cerca su PCS")</f>
        <v/>
      </c>
      <c r="E58" t="inlineStr"/>
      <c r="F58" t="inlineStr"/>
    </row>
    <row r="59">
      <c r="A59" t="n">
        <v>58</v>
      </c>
      <c r="B59" t="inlineStr">
        <is>
          <t>BOLZONI SIMONE</t>
        </is>
      </c>
      <c r="C59" t="inlineStr">
        <is>
          <t>CYCLING TEAM NIAL NIZZOLI ALMO</t>
        </is>
      </c>
      <c r="D59">
        <f>HYPERLINK("https://www.procyclingstats.com/search.php?term=BOLZONI+SIMONE","Cerca su PCS")</f>
        <v/>
      </c>
      <c r="E59" t="inlineStr"/>
      <c r="F59" t="inlineStr"/>
    </row>
    <row r="60">
      <c r="A60" t="n">
        <v>59</v>
      </c>
      <c r="B60" t="inlineStr">
        <is>
          <t>KOSTINA OLGA</t>
        </is>
      </c>
      <c r="C60" t="inlineStr">
        <is>
          <t>PC BAIX EBRE TORTOSA</t>
        </is>
      </c>
      <c r="D60">
        <f>HYPERLINK("https://www.procyclingstats.com/search.php?term=KOSTINA+OLGA","Cerca su PCS")</f>
        <v/>
      </c>
      <c r="E60" t="inlineStr"/>
      <c r="F60" t="inlineStr"/>
    </row>
    <row r="61">
      <c r="A61" t="n">
        <v>60</v>
      </c>
      <c r="B61" t="inlineStr">
        <is>
          <t>GARCIA BARENO DOMINGUEZ NABYENKA</t>
        </is>
      </c>
      <c r="C61" t="inlineStr">
        <is>
          <t>A.R.MONEX PRO CYCLING TEAM</t>
        </is>
      </c>
      <c r="D61">
        <f>HYPERLINK("https://www.procyclingstats.com/search.php?term=GARCIA+BARENO+DOMINGUEZ+NABYENKA","Cerca su PCS")</f>
        <v/>
      </c>
      <c r="E61" t="inlineStr"/>
      <c r="F61" t="inlineStr"/>
    </row>
    <row r="62">
      <c r="A62" t="n">
        <v>61</v>
      </c>
      <c r="B62" t="inlineStr">
        <is>
          <t>LAMPREA MORALES ZARA SOFIA</t>
        </is>
      </c>
      <c r="C62" t="inlineStr">
        <is>
          <t>LMC BOGOTA'</t>
        </is>
      </c>
      <c r="D62">
        <f>HYPERLINK("https://www.procyclingstats.com/search.php?term=LAMPREA+MORALES+ZARA+SOFIA","Cerca su PCS")</f>
        <v/>
      </c>
      <c r="E62" t="inlineStr"/>
      <c r="F62" t="inlineStr"/>
    </row>
    <row r="63">
      <c r="A63" t="n">
        <v>62</v>
      </c>
      <c r="B63" t="inlineStr">
        <is>
          <t>STACCHINI CAMILLA</t>
        </is>
      </c>
      <c r="C63" t="inlineStr">
        <is>
          <t>CICLISTICA OMNIA IMOLA</t>
        </is>
      </c>
      <c r="D63">
        <f>HYPERLINK("https://www.procyclingstats.com/search.php?term=STACCHINI+CAMILLA","Cerca su PCS")</f>
        <v/>
      </c>
      <c r="E63" t="inlineStr"/>
      <c r="F63" t="inlineStr"/>
    </row>
    <row r="64">
      <c r="A64" t="n">
        <v>63</v>
      </c>
      <c r="B64" t="inlineStr">
        <is>
          <t>PINEDA SOTO NATALIA</t>
        </is>
      </c>
      <c r="C64" t="inlineStr">
        <is>
          <t>A.R.MONEX PRO CYCLING TEAM</t>
        </is>
      </c>
      <c r="D64">
        <f>HYPERLINK("https://www.procyclingstats.com/search.php?term=PINEDA+SOTO+NATALIA","Cerca su PCS")</f>
        <v/>
      </c>
      <c r="E64" t="inlineStr"/>
      <c r="F64" t="inlineStr">
        <is>
          <t>questa p un doppione della riga 115 ( ma questo è il nome corretto )</t>
        </is>
      </c>
    </row>
    <row r="65">
      <c r="A65" t="n">
        <v>64</v>
      </c>
      <c r="B65" t="inlineStr">
        <is>
          <t>PERUTA SARA</t>
        </is>
      </c>
      <c r="C65" t="inlineStr">
        <is>
          <t>PETRUCCI GAUSS CYCLING TEAM</t>
        </is>
      </c>
      <c r="D65">
        <f>HYPERLINK("https://www.procyclingstats.com/search.php?term=PERUTA+SARA","Cerca su PCS")</f>
        <v/>
      </c>
      <c r="E65" t="inlineStr"/>
      <c r="F65" t="inlineStr"/>
    </row>
    <row r="66">
      <c r="A66" t="n">
        <v>65</v>
      </c>
      <c r="B66" t="inlineStr">
        <is>
          <t>HIYOSHI AYAKA</t>
        </is>
      </c>
      <c r="C66" t="inlineStr">
        <is>
          <t>GIFU DAIICHI HIGH SCHOOL</t>
        </is>
      </c>
      <c r="D66">
        <f>HYPERLINK("https://www.procyclingstats.com/search.php?term=HIYOSHI+AYAKA","Cerca su PCS")</f>
        <v/>
      </c>
      <c r="E66" t="inlineStr"/>
      <c r="F66" t="inlineStr"/>
    </row>
    <row r="67">
      <c r="A67" t="n">
        <v>66</v>
      </c>
      <c r="B67" t="inlineStr">
        <is>
          <t>FARSETTI BRANDO</t>
        </is>
      </c>
      <c r="C67" t="inlineStr">
        <is>
          <t>BELTRAMI TSA TRE COLLI</t>
        </is>
      </c>
      <c r="D67">
        <f>HYPERLINK("https://www.procyclingstats.com/search.php?term=FARSETTI+BRANDO","Cerca su PCS")</f>
        <v/>
      </c>
      <c r="E67" t="inlineStr"/>
      <c r="F67" t="inlineStr">
        <is>
          <t>Link trovato (cx.procyclingstats.com/rider/brando-farsetti) ma non ha funzionato: il profilo esiste solo nella sezione ciclocross di PCS, non in quella strada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2026-07-24T07:18:50Z</dcterms:created>
  <dcterms:modified xsi:type="dcterms:W3CDTF">2026-07-24T07:18:50Z</dcterms:modified>
</cp:coreProperties>
</file>
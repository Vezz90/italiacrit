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180" activeTab="2"/>
  </bookViews>
  <sheets>
    <sheet name="Atleti non trovati" sheetId="1" r:id="rId1"/>
    <sheet name="Trovati nel frattempo" sheetId="2" r:id="rId2"/>
    <sheet name="Team non trovat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<sst xmlns="http://schemas.openxmlformats.org/spreadsheetml/2006/main" count="778" uniqueCount="655">
  <si>
    <t>#</t>
  </si>
  <si>
    <t>Nome</t>
  </si>
  <si>
    <t>Slug provato dallo scraper</t>
  </si>
  <si>
    <t>Cerca su PCS</t>
  </si>
  <si>
    <t>Link profilo trovato</t>
  </si>
  <si>
    <t>Note</t>
  </si>
  <si>
    <t>ACTIS SAMUELE</t>
  </si>
  <si>
    <t>samuele-actis</t>
  </si>
  <si>
    <t>ARGENTINO SALVATORE</t>
  </si>
  <si>
    <t>salvatore-argentino</t>
  </si>
  <si>
    <t>ASTORRI MARTINO</t>
  </si>
  <si>
    <t>martino-astorri</t>
  </si>
  <si>
    <t>AYALA ARELLANO EDUARD EMANUEL</t>
  </si>
  <si>
    <t>eduard-emanuel-ayala-arellano</t>
  </si>
  <si>
    <t>Alhach Gaetanna</t>
  </si>
  <si>
    <t>gaetanna-alhach</t>
  </si>
  <si>
    <t>Amondarain Naia</t>
  </si>
  <si>
    <t>naia-amondarain</t>
  </si>
  <si>
    <t>Anderson Solbjørk Minke</t>
  </si>
  <si>
    <t>solbj-rk-minke-anderson</t>
  </si>
  <si>
    <t>Aubry Julia</t>
  </si>
  <si>
    <t>julia-aubry</t>
  </si>
  <si>
    <t>Azzini Tuan</t>
  </si>
  <si>
    <t>tuan-azzini</t>
  </si>
  <si>
    <t>BALLIANA ENRICO</t>
  </si>
  <si>
    <t>enrico-balliana</t>
  </si>
  <si>
    <t>BANDINI FILIPPO</t>
  </si>
  <si>
    <t>filippo-bandini</t>
  </si>
  <si>
    <t>BANNER WIL</t>
  </si>
  <si>
    <t>wil-banner</t>
  </si>
  <si>
    <t>BERARDI MICHELE</t>
  </si>
  <si>
    <t>michele-berardi</t>
  </si>
  <si>
    <t>BOLZONI SIMONE</t>
  </si>
  <si>
    <t>simone-bolzoni</t>
  </si>
  <si>
    <t>Balestri Mattia</t>
  </si>
  <si>
    <t>mattia-balestri</t>
  </si>
  <si>
    <t>Bembi Mattia</t>
  </si>
  <si>
    <t>mattia-bembi</t>
  </si>
  <si>
    <t>Benassi Matteo</t>
  </si>
  <si>
    <t>matteo-benassi</t>
  </si>
  <si>
    <t>Benito Adrián</t>
  </si>
  <si>
    <t>adrian-benito</t>
  </si>
  <si>
    <t>Bettelli Davide</t>
  </si>
  <si>
    <t>davide-bettelli</t>
  </si>
  <si>
    <t>Binda Rossetti</t>
  </si>
  <si>
    <t>rossetti-binda</t>
  </si>
  <si>
    <t>Bovo Bianto Kylian</t>
  </si>
  <si>
    <t>bianto-kylian-bovo</t>
  </si>
  <si>
    <t>Brugier Robin</t>
  </si>
  <si>
    <t>robin-brugier</t>
  </si>
  <si>
    <t>Buijsman Nina</t>
  </si>
  <si>
    <t>nina-buijsman</t>
  </si>
  <si>
    <t>CANCHON GIL JUAN ESTEBAN</t>
  </si>
  <si>
    <t>gil-juan-esteban-canchon</t>
  </si>
  <si>
    <t>CARUSO SALVATORE</t>
  </si>
  <si>
    <t>salvatore-caruso</t>
  </si>
  <si>
    <t>CHYZHYKOV HMORHII</t>
  </si>
  <si>
    <t>hmorhii-chyzhykov</t>
  </si>
  <si>
    <t>COATES BENJAMIN</t>
  </si>
  <si>
    <t>benjamin-coates</t>
  </si>
  <si>
    <t>COMETTO FILIPPO</t>
  </si>
  <si>
    <t>filippo-cometto</t>
  </si>
  <si>
    <t>CONGIU FILIPPO</t>
  </si>
  <si>
    <t>filippo-congiu</t>
  </si>
  <si>
    <t>Canino Giuseppe</t>
  </si>
  <si>
    <t>giuseppe-canino</t>
  </si>
  <si>
    <t>Capelli Luca</t>
  </si>
  <si>
    <t>luca-capelli</t>
  </si>
  <si>
    <t>Caroppo Cristian</t>
  </si>
  <si>
    <t>cristian-caroppo</t>
  </si>
  <si>
    <t>Caselli Armin</t>
  </si>
  <si>
    <t>armin-caselli</t>
  </si>
  <si>
    <t>Catellani Marco</t>
  </si>
  <si>
    <t>marco-catellani</t>
  </si>
  <si>
    <t>Cazzaniga Filippo</t>
  </si>
  <si>
    <t>filippo-cazzaniga</t>
  </si>
  <si>
    <t>Cisneros Luis Isuhan</t>
  </si>
  <si>
    <t>luis-isuhan-cisneros</t>
  </si>
  <si>
    <t>Costa-Starrico Giulia</t>
  </si>
  <si>
    <t>giulia-costa-starrico</t>
  </si>
  <si>
    <t>Cuda Gabriele</t>
  </si>
  <si>
    <t>gabriele-cuda</t>
  </si>
  <si>
    <t>Czeczinkarová Jana</t>
  </si>
  <si>
    <t>jana-czeczinkarova</t>
  </si>
  <si>
    <t>D'APOLLONIO REBECCA</t>
  </si>
  <si>
    <t>rebecca-d-apollonio</t>
  </si>
  <si>
    <t>DALLA BONA THOMAS</t>
  </si>
  <si>
    <t>bona-thomas-dalla</t>
  </si>
  <si>
    <t>DALLA PRIA GIACOMO</t>
  </si>
  <si>
    <t>pria-giacomo-dalla</t>
  </si>
  <si>
    <t>DALLE CRODE LORENZO</t>
  </si>
  <si>
    <t>crode-lorenzo-dalle</t>
  </si>
  <si>
    <t>DE GRANDIS MICHELA</t>
  </si>
  <si>
    <t>grandis-michela-de</t>
  </si>
  <si>
    <t>DE MERCANTI LUCA</t>
  </si>
  <si>
    <t>mercanti-luca-de</t>
  </si>
  <si>
    <t>DE MONTE MATTEO</t>
  </si>
  <si>
    <t>monte-matteo-de</t>
  </si>
  <si>
    <t>DE SMET VIC</t>
  </si>
  <si>
    <t>smet-vic-de</t>
  </si>
  <si>
    <t>DELL'OLIO FRANCESCO</t>
  </si>
  <si>
    <t>francesco-dell-olio</t>
  </si>
  <si>
    <t>DELLA TORRE CARLO</t>
  </si>
  <si>
    <t>torre-carlo-della</t>
  </si>
  <si>
    <t>DERGANC ANTON</t>
  </si>
  <si>
    <t>anton-derganc</t>
  </si>
  <si>
    <t>DI PRIMA CHRISTIAN</t>
  </si>
  <si>
    <t>prima-christian-di</t>
  </si>
  <si>
    <t>DI SANTO LEONARDO</t>
  </si>
  <si>
    <t>santo-leonardo-di</t>
  </si>
  <si>
    <t>DOVESI MANUEL</t>
  </si>
  <si>
    <t>manuel-dovesi</t>
  </si>
  <si>
    <t>Dalla Cia Alberto</t>
  </si>
  <si>
    <t>cia-alberto-dalla</t>
  </si>
  <si>
    <t>Dalla Valle Andrea</t>
  </si>
  <si>
    <t>valle-andrea-dalla</t>
  </si>
  <si>
    <t>Dalle Carbonare Loris</t>
  </si>
  <si>
    <t>carbonare-loris-dalle</t>
  </si>
  <si>
    <t>De Buysser Auke</t>
  </si>
  <si>
    <t>buysser-auke-de</t>
  </si>
  <si>
    <t>De Fabritiis Gabriele</t>
  </si>
  <si>
    <t>fabritiis-gabriele-de</t>
  </si>
  <si>
    <t>De Keersmaeker Audrey</t>
  </si>
  <si>
    <t>keersmaeker-audrey-de</t>
  </si>
  <si>
    <t>De Lazzer Agnese</t>
  </si>
  <si>
    <t>lazzer-agnese-de</t>
  </si>
  <si>
    <t>De Rensis Stefano</t>
  </si>
  <si>
    <t>rensis-stefano-de</t>
  </si>
  <si>
    <t>De Vallier Elisa</t>
  </si>
  <si>
    <t>vallier-elisa-de</t>
  </si>
  <si>
    <t>Devos Victor</t>
  </si>
  <si>
    <t>victor-devos</t>
  </si>
  <si>
    <t>Di Vita Federico</t>
  </si>
  <si>
    <t>vita-federico-di</t>
  </si>
  <si>
    <t>Dones Mattia</t>
  </si>
  <si>
    <t>mattia-dones</t>
  </si>
  <si>
    <t>Elsäßer Luan</t>
  </si>
  <si>
    <t>luan-elsa-er</t>
  </si>
  <si>
    <t>FARAZ KHATIEB</t>
  </si>
  <si>
    <t>khatieb-faraz</t>
  </si>
  <si>
    <t>FOLEGANI MATTIA</t>
  </si>
  <si>
    <t>mattia-folegani</t>
  </si>
  <si>
    <t>FRATICELLI LUCA</t>
  </si>
  <si>
    <t>luca-fraticelli</t>
  </si>
  <si>
    <t>Felipe Quotadamo</t>
  </si>
  <si>
    <t>quotadamo-felipe</t>
  </si>
  <si>
    <t>Flückiger Dennis</t>
  </si>
  <si>
    <t>dennis-fluckiger</t>
  </si>
  <si>
    <t>Francescangeli Tommaso</t>
  </si>
  <si>
    <t>tommaso-francescangeli</t>
  </si>
  <si>
    <t>Frydkjær Patrick Boje</t>
  </si>
  <si>
    <t>patrick-boje-frydkj-r</t>
  </si>
  <si>
    <t>GALFRE' JACOPO</t>
  </si>
  <si>
    <t>jacopo-galfre</t>
  </si>
  <si>
    <t>GARCIA BARENO DOMINGUEZ NABYENKA</t>
  </si>
  <si>
    <t>bareno-dominguez-nabyenka-garcia</t>
  </si>
  <si>
    <t>GENOVESE RICCARDO</t>
  </si>
  <si>
    <t>riccardo-genovese</t>
  </si>
  <si>
    <t>GENTILE ANGELO</t>
  </si>
  <si>
    <t>angelo-gentile</t>
  </si>
  <si>
    <t>GERACI SALVATORE</t>
  </si>
  <si>
    <t>salvatore-geraci</t>
  </si>
  <si>
    <t>GIOVANNINI LEONARDO</t>
  </si>
  <si>
    <t>leonardo-giovannini</t>
  </si>
  <si>
    <t>Gaffney David</t>
  </si>
  <si>
    <t>david-gaffney</t>
  </si>
  <si>
    <t>Garcia Rodrigo</t>
  </si>
  <si>
    <t>rodrigo-garcia</t>
  </si>
  <si>
    <t>Genghini Giacomo</t>
  </si>
  <si>
    <t>giacomo-genghini</t>
  </si>
  <si>
    <t>Gualtieri Samuel</t>
  </si>
  <si>
    <t>samuel-gualtieri</t>
  </si>
  <si>
    <t>HINOJOSA CRUZ ROMINA</t>
  </si>
  <si>
    <t>cruz-romina-hinojosa</t>
  </si>
  <si>
    <t>HIYOSHI AYAKA</t>
  </si>
  <si>
    <t>ayaka-hiyoshi</t>
  </si>
  <si>
    <t>IAKOVLEV MATVEL</t>
  </si>
  <si>
    <t>matvel-iakovlev</t>
  </si>
  <si>
    <t>IETTA EDOARDO</t>
  </si>
  <si>
    <t>edoardo-ietta</t>
  </si>
  <si>
    <t>Iakolev Matvei</t>
  </si>
  <si>
    <t>matvei-iakolev</t>
  </si>
  <si>
    <t>Jakobsons Marks</t>
  </si>
  <si>
    <t>marks-jakobsons</t>
  </si>
  <si>
    <t>Johnson Joshua</t>
  </si>
  <si>
    <t>joshua-johnson</t>
  </si>
  <si>
    <t>Jørgensen Tiril</t>
  </si>
  <si>
    <t>tiril-j-rgensen</t>
  </si>
  <si>
    <t>KLAU JACKSON</t>
  </si>
  <si>
    <t>jackson-klau</t>
  </si>
  <si>
    <t>KONONENKO VALERIIA</t>
  </si>
  <si>
    <t>valeriia-kononenko</t>
  </si>
  <si>
    <t>KOSTINA OLGA</t>
  </si>
  <si>
    <t>olga-kostina</t>
  </si>
  <si>
    <t>KUNTARIC ZIBERT VANJA</t>
  </si>
  <si>
    <t>zibert-vanja-kuntaric</t>
  </si>
  <si>
    <t>Kancers Helvijs</t>
  </si>
  <si>
    <t>helvijs-kancers</t>
  </si>
  <si>
    <t>Kołkowicz Karolina</t>
  </si>
  <si>
    <t>karolina-ko-kowicz</t>
  </si>
  <si>
    <t>LA BELLA ELEONORA</t>
  </si>
  <si>
    <t>bella-eleonora-la</t>
  </si>
  <si>
    <t>LINGENHAG LAURIN</t>
  </si>
  <si>
    <t>laurin-lingenhag</t>
  </si>
  <si>
    <t>LOVER MEDEOT TOMAZ</t>
  </si>
  <si>
    <t>tomaz-lover-medeot</t>
  </si>
  <si>
    <t>LUDWIG UTTRUP CECILIE</t>
  </si>
  <si>
    <t>uttrup-ludwig</t>
  </si>
  <si>
    <t>La Face Giuseppe</t>
  </si>
  <si>
    <t>face-giuseppe-la</t>
  </si>
  <si>
    <t>Lapi Luca</t>
  </si>
  <si>
    <t>luca-lapi</t>
  </si>
  <si>
    <t>Lauria Andrea</t>
  </si>
  <si>
    <t>andrea-lauria</t>
  </si>
  <si>
    <t>Le Court-Pienaar Kim</t>
  </si>
  <si>
    <t>court-pienaar-kim-le</t>
  </si>
  <si>
    <t>Lega Niccolo'</t>
  </si>
  <si>
    <t>niccolo-lega</t>
  </si>
  <si>
    <t>Limardo Damiano</t>
  </si>
  <si>
    <t>damiano-limardo</t>
  </si>
  <si>
    <t>Limonta Daniele</t>
  </si>
  <si>
    <t>daniele-limonta</t>
  </si>
  <si>
    <t>Lo Piccolo Domenico</t>
  </si>
  <si>
    <t>piccolo-domenico-lo</t>
  </si>
  <si>
    <t>Londoño Juliana</t>
  </si>
  <si>
    <t>juliana-londono</t>
  </si>
  <si>
    <t>Lotti Zeno</t>
  </si>
  <si>
    <t>zeno-lotti</t>
  </si>
  <si>
    <t>Luzzi Gabriele</t>
  </si>
  <si>
    <t>gabriele-luzzi</t>
  </si>
  <si>
    <t>MANCA SAMUELE</t>
  </si>
  <si>
    <t>samuele-manca</t>
  </si>
  <si>
    <t>MANNU FRANCESCO</t>
  </si>
  <si>
    <t>francesco-mannu</t>
  </si>
  <si>
    <t>MANTOVANI GIULIO</t>
  </si>
  <si>
    <t>giulio-mantovani</t>
  </si>
  <si>
    <t>MARCHIONE GIACOMO</t>
  </si>
  <si>
    <t>giacomo-marchione</t>
  </si>
  <si>
    <t>MARETTA GABRIELE</t>
  </si>
  <si>
    <t>gabriele-maretta</t>
  </si>
  <si>
    <t>MATYASIK MAKSYMILIAN</t>
  </si>
  <si>
    <t>maksymilian-matyasik</t>
  </si>
  <si>
    <t>MAZZOLENI LUCA</t>
  </si>
  <si>
    <t>luca-mazzoleni</t>
  </si>
  <si>
    <t>MILAKI ARGYRO</t>
  </si>
  <si>
    <t>argyro-milaki</t>
  </si>
  <si>
    <t>MILANI LORENZO</t>
  </si>
  <si>
    <t>lorenzo-milani</t>
  </si>
  <si>
    <t>MISHANKOV MAKSIM</t>
  </si>
  <si>
    <t>maksim-mishankov</t>
  </si>
  <si>
    <t>MOCCI EDOARDO</t>
  </si>
  <si>
    <t>edoardo-mocci</t>
  </si>
  <si>
    <t>MOLLO GIANMARIA</t>
  </si>
  <si>
    <t>gianmaria-mollo</t>
  </si>
  <si>
    <t>MORENO GARCIA DANIEL SANTIAGO</t>
  </si>
  <si>
    <t>garcia-daniel-santiago-moreno</t>
  </si>
  <si>
    <t>MURA ANDREA</t>
  </si>
  <si>
    <t>andrea-mura</t>
  </si>
  <si>
    <t>Magni Daniele</t>
  </si>
  <si>
    <t>daniele-magni</t>
  </si>
  <si>
    <t>Maranchón Enrique</t>
  </si>
  <si>
    <t>enrique-maranchon</t>
  </si>
  <si>
    <t>Marchina Leonardo</t>
  </si>
  <si>
    <t>leonardo-marchina</t>
  </si>
  <si>
    <t>Martini Nicola</t>
  </si>
  <si>
    <t>nicola-martini</t>
  </si>
  <si>
    <t>Martín Sara</t>
  </si>
  <si>
    <t>sara-martin</t>
  </si>
  <si>
    <t>Martínez Aitor</t>
  </si>
  <si>
    <t>aitor-martinez</t>
  </si>
  <si>
    <t>Micali Matteo</t>
  </si>
  <si>
    <t>matteo-micali</t>
  </si>
  <si>
    <t>Moolman-Pasio Ashleigh</t>
  </si>
  <si>
    <t>ashleigh-moolman-pasio</t>
  </si>
  <si>
    <t>Moretti Samuel</t>
  </si>
  <si>
    <t>samuel-moretti</t>
  </si>
  <si>
    <t>Muricci Leonardo</t>
  </si>
  <si>
    <t>leonardo-muricci</t>
  </si>
  <si>
    <t>NOVAL SUAREZ BENJAMIN</t>
  </si>
  <si>
    <t>benjamin-noval-suarez</t>
  </si>
  <si>
    <t>Noyola Marcela</t>
  </si>
  <si>
    <t>marcela-noyola</t>
  </si>
  <si>
    <t>ORHOLM-LONSETH SIND</t>
  </si>
  <si>
    <t>sind-orholm-lonseth</t>
  </si>
  <si>
    <t>Odriozola Naxara</t>
  </si>
  <si>
    <t>naxara-odriozola</t>
  </si>
  <si>
    <t>Orholm-Lønseth Sindre</t>
  </si>
  <si>
    <t>sindre-orholm-l-nseth</t>
  </si>
  <si>
    <t>Orlandi Giacomo</t>
  </si>
  <si>
    <t>giacomo-orlandi</t>
  </si>
  <si>
    <t>Orsi Riccardo</t>
  </si>
  <si>
    <t>riccardo-orsi</t>
  </si>
  <si>
    <t>PAVI DEGL'INNOCENTI GIULIO</t>
  </si>
  <si>
    <t>degl-innocenti-giulio-pavi</t>
  </si>
  <si>
    <t>PENALVER ANIORTE MANUEL</t>
  </si>
  <si>
    <t>aniorte-manuel-penalver</t>
  </si>
  <si>
    <t>PENEDA SOTO NATALIA</t>
  </si>
  <si>
    <t>natalia-peneda-soto</t>
  </si>
  <si>
    <t>PINEDA SOTO NATALIA</t>
  </si>
  <si>
    <t>natalia-pineda-soto</t>
  </si>
  <si>
    <t>PINNA ROBERTO</t>
  </si>
  <si>
    <t>roberto-pinna</t>
  </si>
  <si>
    <t>PITTA JACOPO</t>
  </si>
  <si>
    <t>jacopo-pitta</t>
  </si>
  <si>
    <t>POLIUSHKO OLEKSANDER</t>
  </si>
  <si>
    <t>oleksander-poliushko</t>
  </si>
  <si>
    <t>PROSANDEEV IAROSLAV</t>
  </si>
  <si>
    <t>iaroslav-prosandeev</t>
  </si>
  <si>
    <t>Paredes Manuel Sebastian</t>
  </si>
  <si>
    <t>manuel-sebastian-paredes</t>
  </si>
  <si>
    <t>Piccin Alessandro</t>
  </si>
  <si>
    <t>alessandro-piccin</t>
  </si>
  <si>
    <t>Puigdefábregas Laia</t>
  </si>
  <si>
    <t>laia-puigdefabregas</t>
  </si>
  <si>
    <t>Pérez Ciro</t>
  </si>
  <si>
    <t>ciro-perez</t>
  </si>
  <si>
    <t>Płosaj Nikol</t>
  </si>
  <si>
    <t>nikol-p-osaj</t>
  </si>
  <si>
    <t>Quilico Gabriele</t>
  </si>
  <si>
    <t>gabriele-quilico</t>
  </si>
  <si>
    <t>RANDAZZO VITO</t>
  </si>
  <si>
    <t>vito-randazzo</t>
  </si>
  <si>
    <t>RANIERI MATTEO</t>
  </si>
  <si>
    <t>matteo-ranieri</t>
  </si>
  <si>
    <t>RESTREPO LOAIZA OSCAR IVAN</t>
  </si>
  <si>
    <t>loaiza-restrepo</t>
  </si>
  <si>
    <t>RICCADONA EDOARDO</t>
  </si>
  <si>
    <t>edoardo-riccadona</t>
  </si>
  <si>
    <t>ROCCELLA MARCO</t>
  </si>
  <si>
    <t>marco-roccella</t>
  </si>
  <si>
    <t>RODRIGUEZ DELGADO JOSE EMILIO</t>
  </si>
  <si>
    <t>delgado-jose-emilio-rodriguez</t>
  </si>
  <si>
    <t>ROJAS NARANJO VICENTE RODRIGO ANTONIO</t>
  </si>
  <si>
    <t>naranjo-vicente-rodrigo-antonio-rojas</t>
  </si>
  <si>
    <t>ROSSI MATTIA</t>
  </si>
  <si>
    <t>mattia-rossi</t>
  </si>
  <si>
    <t>Ramírez Mateo</t>
  </si>
  <si>
    <t>mateo-ramirez</t>
  </si>
  <si>
    <t>Rayfer Ilay</t>
  </si>
  <si>
    <t>ilay-rayfer</t>
  </si>
  <si>
    <t>Reichmuth Kyra</t>
  </si>
  <si>
    <t>kyra-reichmuth</t>
  </si>
  <si>
    <t>Ricci Federico</t>
  </si>
  <si>
    <t>federico-ricci</t>
  </si>
  <si>
    <t>Rodriguez Diego</t>
  </si>
  <si>
    <t>diego-rodriguez</t>
  </si>
  <si>
    <t>Rodríguez Laura</t>
  </si>
  <si>
    <t>laura-rodriguez</t>
  </si>
  <si>
    <t>Ruffin Riccardo</t>
  </si>
  <si>
    <t>riccardo-ruffin</t>
  </si>
  <si>
    <t>SAINT MARTIN PIERRE</t>
  </si>
  <si>
    <t>martin-pierre-saint</t>
  </si>
  <si>
    <t>SANTAMARIA RICCARDO</t>
  </si>
  <si>
    <t>riccardo-santamaria</t>
  </si>
  <si>
    <t>SANTIAGO GARCIA RICARDO</t>
  </si>
  <si>
    <t>ricardo-santiago-garcia</t>
  </si>
  <si>
    <t>SAVEKIN ILIA</t>
  </si>
  <si>
    <t>ilia-savekin</t>
  </si>
  <si>
    <t>SCHEMBARI FLAVIO</t>
  </si>
  <si>
    <t>flavio-schembari</t>
  </si>
  <si>
    <t>SCHNYDER NOAH</t>
  </si>
  <si>
    <t>noah-schnyder</t>
  </si>
  <si>
    <t>SCOTT BOURIS AMOS</t>
  </si>
  <si>
    <t>bouris-amos-scott</t>
  </si>
  <si>
    <t>SECHI MARCO</t>
  </si>
  <si>
    <t>marco-sechi</t>
  </si>
  <si>
    <t>SHANNON HARRISON</t>
  </si>
  <si>
    <t>harrison-shannon</t>
  </si>
  <si>
    <t>SOLLA LEONARDO</t>
  </si>
  <si>
    <t>leonardo-solla</t>
  </si>
  <si>
    <t>SOTO CERVANTES ALEJANDRO</t>
  </si>
  <si>
    <t>cervantes-alejandro-soto</t>
  </si>
  <si>
    <t>STELLA ANTONIO TANCREDI</t>
  </si>
  <si>
    <t>antonio-tancredi-stella</t>
  </si>
  <si>
    <t>SUPI SEBASTIAN</t>
  </si>
  <si>
    <t>sebastian-supi</t>
  </si>
  <si>
    <t>Saguatti Fabian</t>
  </si>
  <si>
    <t>fabian-saguatti</t>
  </si>
  <si>
    <t>Støvern Ida Østbye</t>
  </si>
  <si>
    <t>ida-stbye-st-vern</t>
  </si>
  <si>
    <t>Słomka Kinga</t>
  </si>
  <si>
    <t>kinga-s-omka</t>
  </si>
  <si>
    <t>TERCERO LOPEZ FERNANDO</t>
  </si>
  <si>
    <t>lopez-fernando-tercero</t>
  </si>
  <si>
    <t>Tercero Fernando</t>
  </si>
  <si>
    <t>fernando-tercero</t>
  </si>
  <si>
    <t>Tobul Yair</t>
  </si>
  <si>
    <t>yair-tobul</t>
  </si>
  <si>
    <t>Trisconi Elia</t>
  </si>
  <si>
    <t>elia-trisconi</t>
  </si>
  <si>
    <t>Utengen Sandstad Halvor</t>
  </si>
  <si>
    <t>sandstad-halvor-utengen</t>
  </si>
  <si>
    <t>VAL'O ROMAN</t>
  </si>
  <si>
    <t>roman-val-o</t>
  </si>
  <si>
    <t>VAN ANROOIJ SHIRIN</t>
  </si>
  <si>
    <t>anrooij-van</t>
  </si>
  <si>
    <t>VAN DEN BIGGELAAR</t>
  </si>
  <si>
    <t>biggelaar-van-den</t>
  </si>
  <si>
    <t>VERONI RICCARDO</t>
  </si>
  <si>
    <t>riccardo-veroni</t>
  </si>
  <si>
    <t>VESHNIAKOV DANIIL</t>
  </si>
  <si>
    <t>daniil-veshniakov</t>
  </si>
  <si>
    <t>VILLA MATTEO</t>
  </si>
  <si>
    <t>matteo-villa</t>
  </si>
  <si>
    <t>Van De Velde Julie</t>
  </si>
  <si>
    <t>de-velde-julie-van</t>
  </si>
  <si>
    <t>WIGGINS MICHEAL BEN</t>
  </si>
  <si>
    <t>micheal-ben-wiggins</t>
  </si>
  <si>
    <t>WROLICH SANTIAGO</t>
  </si>
  <si>
    <t>santiago-wrolich</t>
  </si>
  <si>
    <t>Wiesmayr Niklas</t>
  </si>
  <si>
    <t>niklas-wiesmayr</t>
  </si>
  <si>
    <t>Włodarczyk Dominika</t>
  </si>
  <si>
    <t>dominika-w-odarczyk</t>
  </si>
  <si>
    <t>Włodarski Marcin</t>
  </si>
  <si>
    <t>marcin-w-odarski</t>
  </si>
  <si>
    <t>ZAMUDIO GARCIA MAYTE</t>
  </si>
  <si>
    <t>mayte-zamudio-garcia</t>
  </si>
  <si>
    <t>ZOZULIA ANDRII</t>
  </si>
  <si>
    <t>andrii-zozulia</t>
  </si>
  <si>
    <t>Zamudio Gianluigi</t>
  </si>
  <si>
    <t>gianluigi-zamudio</t>
  </si>
  <si>
    <t>Zandri Francesco</t>
  </si>
  <si>
    <t>francesco-zandri</t>
  </si>
  <si>
    <t>de Jong Loïs</t>
  </si>
  <si>
    <t>jong-lois-de</t>
  </si>
  <si>
    <t>de Jong Thalita</t>
  </si>
  <si>
    <t>jong-thalita-de</t>
  </si>
  <si>
    <t>de Marigny-Lagesse Lucie</t>
  </si>
  <si>
    <t>marigny-lagesse-lucie-de</t>
  </si>
  <si>
    <t>de Zoete Mylène</t>
  </si>
  <si>
    <t>zoete-mylene-de</t>
  </si>
  <si>
    <t>van 't Geloof Marjolein</t>
  </si>
  <si>
    <t>t-geloof-marjolein-van</t>
  </si>
  <si>
    <t>van Agt Eva</t>
  </si>
  <si>
    <t>agt-eva-van</t>
  </si>
  <si>
    <t>van Rijswijk Hannah</t>
  </si>
  <si>
    <t>rijswijk-hannah-van</t>
  </si>
  <si>
    <t>van Rooijen Sofie</t>
  </si>
  <si>
    <t>rooijen-sofie-van</t>
  </si>
  <si>
    <t>van der Duin Maike</t>
  </si>
  <si>
    <t>der-duin-maike-van</t>
  </si>
  <si>
    <t>von Berswordt Sophie</t>
  </si>
  <si>
    <t>berswordt-sophie-von</t>
  </si>
  <si>
    <t>Østdal Linus</t>
  </si>
  <si>
    <t>linus-stdal</t>
  </si>
  <si>
    <t>celle gialle (colonne E-F) = da compilare tu — incolla il link del profilo PCS trovato e, se vuoi, una nota</t>
  </si>
  <si>
    <t>lista corretta rispetto al giro grezzo: esclusi gli atleti che in realta' hanno gia' un profilo PCS funzionante (falsi negativi da intoppi di rete durante lo scraping)</t>
  </si>
  <si>
    <t>Questi 15 nomi erano nel file di ieri ma il roster-import di oggi li ha già trovati — non serve più cercarli a mano.</t>
  </si>
  <si>
    <t>BLASI CAIROL PAULA</t>
  </si>
  <si>
    <t>COLES-LYSTER MAGGIE</t>
  </si>
  <si>
    <t>COSTA-STARICCO GIULIA</t>
  </si>
  <si>
    <t>DE CASSAN DAVIDE</t>
  </si>
  <si>
    <t>DE GENDT LEANDER</t>
  </si>
  <si>
    <t>DE LAURENTIIS GIUSEPPE</t>
  </si>
  <si>
    <t>DE LONGHI LORENZO</t>
  </si>
  <si>
    <t>DE TOTTO ANDREA</t>
  </si>
  <si>
    <t>DE VRIES FEMKE</t>
  </si>
  <si>
    <t>FARSETTI BRANDO</t>
  </si>
  <si>
    <t>LE PANN SOEN</t>
  </si>
  <si>
    <t>MAGLI FILIPPO</t>
  </si>
  <si>
    <t>NIEWIADOMA KASIA</t>
  </si>
  <si>
    <t>PEZZO ROSOLA KEVIN</t>
  </si>
  <si>
    <t>SHTIN VALERII</t>
  </si>
  <si>
    <t>Solo team con almeno un atleta Elite/U23 o Juniores (M/F) — Allievi/Esordienti esclusi, non tracciati su PCS.</t>
  </si>
  <si>
    <t>Nome team (FCI)</t>
  </si>
  <si>
    <t>Slug PCS trovato a mano</t>
  </si>
  <si>
    <t>IND. FORNITURE MORO-C&amp;G CAPITAL</t>
  </si>
  <si>
    <t>https://www.procyclingstats.com/team/team-c-s-spercenigo-industrial-forniture-moroc-g-capital-2026</t>
  </si>
  <si>
    <t>ETHICA ZERO24 CYCLING TEAM ECOTEK</t>
  </si>
  <si>
    <t>https://www.procyclingstats.com/team/team-ecotek-2026</t>
  </si>
  <si>
    <t>CYCLING TEAM NIAL NIZZOLI ALMO</t>
  </si>
  <si>
    <t>https://www.procyclingstats.com/team/cycling-team-nial-nizzoli-2026</t>
  </si>
  <si>
    <t>MADONE-TEAM BIKE SICILIA</t>
  </si>
  <si>
    <t/>
  </si>
  <si>
    <t>MULTICAR GRUPPO AMARU'</t>
  </si>
  <si>
    <t>SALUS CICLISTICA SEREGNO DE ROSA</t>
  </si>
  <si>
    <t>https://www.procyclingstats.com/team/salus-ciclistica-seregno-de-rosa-2026</t>
  </si>
  <si>
    <t>A.S.D. PROBIKE ERICE</t>
  </si>
  <si>
    <t>ARAN CUCINE VEJUS</t>
  </si>
  <si>
    <t>https://www.procyclingstats.com/team/aran-cucine-vejus-2026</t>
  </si>
  <si>
    <t>S.C. TERRANOVA FANCELLO CICLI</t>
  </si>
  <si>
    <t>POOL BIKE SERRAMANNA</t>
  </si>
  <si>
    <t>DUEPPI CYCLING PROJECT</t>
  </si>
  <si>
    <t>CANNEDU ITTIRI "A. MANCA" ASD</t>
  </si>
  <si>
    <t>SESTU BIKE A.S.D.</t>
  </si>
  <si>
    <t>S.C. MONTEPONI A.S.D.</t>
  </si>
  <si>
    <t>FERALPI MONTECLARENSE ASD</t>
  </si>
  <si>
    <t>https://www.procyclingstats.com/team/gc-feralpi-monteclarense-2026</t>
  </si>
  <si>
    <t>TEAM TECHNIPES #INEMILIAROMAGNA</t>
  </si>
  <si>
    <t>https://www.procyclingstats.com/team/team-technipes-inemiliaromagna-caffe-borbone-2026//</t>
  </si>
  <si>
    <t>GALLINA LUCCHINI ECOTEK</t>
  </si>
  <si>
    <t>https://www.procyclingstats.com/team/gallina-ecotek-lucchini-2026/overview/start</t>
  </si>
  <si>
    <t>TEAM SERIO</t>
  </si>
  <si>
    <t>CICLISTICA OMNIA IMOLA</t>
  </si>
  <si>
    <t>https://www.procyclingstats.com/team/ciclistica-omnia-imola-2026</t>
  </si>
  <si>
    <t>TOYOTA VALENCIA SAV</t>
  </si>
  <si>
    <t>https://www.procyclingstats.com/team/toyota-valencia-sav-women-039-s-cycling-team-2026//</t>
  </si>
  <si>
    <t>HORIZONS CYCLING CLUB</t>
  </si>
  <si>
    <t>https://www.procyclingstats.com/team/horizons-cycling-club-team-1971-2026//</t>
  </si>
  <si>
    <t>LOMBARDIA</t>
  </si>
  <si>
    <t>VENETO</t>
  </si>
  <si>
    <t>TOSCANA</t>
  </si>
  <si>
    <t>TEAM POLTI VISITMALTA</t>
  </si>
  <si>
    <t>https://www.procyclingstats.com/team/team-polti-visitmalta-2026//</t>
  </si>
  <si>
    <t>MG K-VIS COSTRUZIONI E AMBIENTE</t>
  </si>
  <si>
    <t>https://www.procyclingstats.com/team/mg.k-vis-costruzioni-e-ambiente-2026</t>
  </si>
  <si>
    <t>GOODSHOP YOYOGURT</t>
  </si>
  <si>
    <t>https://www.procyclingstats.com/team/goodshop-team-yoyogurt-2026//</t>
  </si>
  <si>
    <t>GS MALTINTI LAMPADARI BANCA CAMBIANO</t>
  </si>
  <si>
    <t>https://www.procyclingstats.com/team/maltinti-lampadari-banca-cambiano-2026//</t>
  </si>
  <si>
    <t>U.C. PIASCO</t>
  </si>
  <si>
    <t>https://www.procyclingstats.com/team/u-c-piasco-valle-varaita-2026//</t>
  </si>
  <si>
    <t>NORDEST PETRUCCI ASSALI STEFEN</t>
  </si>
  <si>
    <t>https://www.procyclingstats.com/team/nordest-petrucci-assali-stefen-gs-cadidavid-2026//</t>
  </si>
  <si>
    <t>AUTOZAI-CONTRI</t>
  </si>
  <si>
    <t>https://www.procyclingstats.com/team/autozai-contri-2026//</t>
  </si>
  <si>
    <t>CLUB DEPORTIVO TRI SPORT</t>
  </si>
  <si>
    <t>TEAM GENERAL SYSTEM</t>
  </si>
  <si>
    <t>https://www.procyclingstats.com/team/team-general-system-awc-2026//</t>
  </si>
  <si>
    <t>SIDERMEC - SLP</t>
  </si>
  <si>
    <t>TEAM VANGI TOMMASINI IL PIRATA</t>
  </si>
  <si>
    <t>https://www.procyclingstats.com/team/vangi-sama-ricambi-il-pirata-2026//</t>
  </si>
  <si>
    <t>ITALIA NUOVA BOLOGNA</t>
  </si>
  <si>
    <t>https://www.procyclingstats.com/team/nuova-bologna-2026</t>
  </si>
  <si>
    <t>PIEMONTE</t>
  </si>
  <si>
    <t>MASTROMARCO FC NIBALI</t>
  </si>
  <si>
    <t>https://www.procyclingstats.com/team/mastromarco-sensi-nibali-2026//</t>
  </si>
  <si>
    <t>ASD SWATT CLUB</t>
  </si>
  <si>
    <t>https://www.procyclingstats.com/team/swatt-club-2026//</t>
  </si>
  <si>
    <t>TEAM WSA KTM GRAZ</t>
  </si>
  <si>
    <t>https://www.procyclingstats.com/team/wsa-ktm-graz-2026//</t>
  </si>
  <si>
    <t>POOL CANTU' GB TEAM A.S.D.</t>
  </si>
  <si>
    <t>https://www.procyclingstats.com/team/pool-cantu-1999-gb-junior-team-2026//</t>
  </si>
  <si>
    <t>S. C. CENE A. S. D.</t>
  </si>
  <si>
    <t>https://www.procyclingstats.com/team/sc-valle-seriana-cene-asd-2026</t>
  </si>
  <si>
    <t>XDS ASTANA DEVELOPMENT TEAM</t>
  </si>
  <si>
    <t>https://www.procyclingstats.com/team/xds-astana-development-team-2026//</t>
  </si>
  <si>
    <t>SOUDAL QUICK-STEP DEVO TEAM</t>
  </si>
  <si>
    <t>https://www.procyclingstats.com/team/soudal-quick-step-devo-team-2026//</t>
  </si>
  <si>
    <t>EQUIPE CORBETTESE</t>
  </si>
  <si>
    <t>WWV HAGENS BERMAN - JAYCO</t>
  </si>
  <si>
    <t>https://www.procyclingstats.com/team/hagens-berman-jayco-2026</t>
  </si>
  <si>
    <t>LIDL - TREK</t>
  </si>
  <si>
    <t>https://www.procyclingstats.com/team/lidl-trek-women-2026</t>
  </si>
  <si>
    <t>FIAMME ORO</t>
  </si>
  <si>
    <t>GS FIAMME AZZURRE</t>
  </si>
  <si>
    <t>LABORAL KUTXA - FUNDACION EUSKADI</t>
  </si>
  <si>
    <t>https://www.procyclingstats.com/team/laboral-kutxa-fundacion-euskadi-2026//</t>
  </si>
  <si>
    <t>MOVISTAR TEAM</t>
  </si>
  <si>
    <t>https://www.procyclingstats.com/team/movistar-women-team-2028</t>
  </si>
  <si>
    <t>ROTOGAL GUADENSE</t>
  </si>
  <si>
    <t>https://www.procyclingstats.com/team/gs-guadense-rotogal-2026</t>
  </si>
  <si>
    <t>CASANO</t>
  </si>
  <si>
    <t>E' VALTELLINA PEDALE MORBEGNESE</t>
  </si>
  <si>
    <t>TEAM GUERRINI SENAGHESE</t>
  </si>
  <si>
    <t>G.S. MASSI' SUPERMERCATI PONTIDA</t>
  </si>
  <si>
    <t>U.C.A.B. 1925 BIELLA - SEMPERLUX</t>
  </si>
  <si>
    <t>STAR CYCLING LAB</t>
  </si>
  <si>
    <t>ITALIA</t>
  </si>
  <si>
    <t>MOVISTAR TEAM ACADEMY</t>
  </si>
  <si>
    <t>G.S. BAREGGESE A.S.D</t>
  </si>
  <si>
    <t>B-TEAM CYCLING PROJECT</t>
  </si>
  <si>
    <t>MEBLO JOGI PRO-CONCRETE</t>
  </si>
  <si>
    <t>POGI TEAM UAE GENERALI</t>
  </si>
  <si>
    <t>SS AQUILA</t>
  </si>
  <si>
    <t>VIGNA FIORITA-BORGO MOLINO</t>
  </si>
  <si>
    <t>FACTOR RACING</t>
  </si>
  <si>
    <t>V.C. ORSAGO - OROGILDO</t>
  </si>
  <si>
    <t>ST KILDA CYCLING CLUB</t>
  </si>
  <si>
    <t>TUDOR PRO CYCLING U23</t>
  </si>
  <si>
    <t>U.C TREVIGIANI ENERGIAPURA MARCHIOL</t>
  </si>
  <si>
    <t>ARA I SKIP CAPITAL</t>
  </si>
  <si>
    <t>ASD G.C. SISSIO TEAM</t>
  </si>
  <si>
    <t>TRIS STAMPI FIOR DI GRANO</t>
  </si>
  <si>
    <t>NURRI-ORROLI MTB A.S.D.</t>
  </si>
  <si>
    <t>WCC - UCI WORLD CYCLING CENTRE</t>
  </si>
  <si>
    <t>FANINI PRO CYCLING</t>
  </si>
  <si>
    <t>TSCHERNING CYCLING ACADEMY</t>
  </si>
  <si>
    <t>AR MONEX WMN PRO CYCLING TEAM</t>
  </si>
  <si>
    <t>TEAM CINGOLANI-SPECIALIZED</t>
  </si>
  <si>
    <t>TORELLI CYCLING TEAM</t>
  </si>
  <si>
    <t>S.C.V. BIKE CADORAGO ASD</t>
  </si>
  <si>
    <t>LOTTO INTERNARCHE' LADIES</t>
  </si>
  <si>
    <t>TEAM VISMA LEASE A BIKE</t>
  </si>
  <si>
    <t>UNO-X MOBILITY</t>
  </si>
  <si>
    <t>AG INSURANCE SOUDAL</t>
  </si>
  <si>
    <t>SVIZZERA</t>
  </si>
  <si>
    <t>NORVEGIA</t>
  </si>
  <si>
    <t>OLANDA</t>
  </si>
  <si>
    <t>AUSTRALIA</t>
  </si>
  <si>
    <t>SPAGNA</t>
  </si>
  <si>
    <t>NAZIONALE UCRAINA</t>
  </si>
  <si>
    <t>POLISPORTIVA TRIPETETOLO SEANESE</t>
  </si>
  <si>
    <t>NIPPO NUOVACOMAUTO OBOR</t>
  </si>
  <si>
    <t>GARLASCHESE A.S.D.</t>
  </si>
  <si>
    <t>ST MICHEL-PREFERENCE HOME-AUBER93</t>
  </si>
  <si>
    <t>TEAM PICNIC POSTNL</t>
  </si>
  <si>
    <t>MBH BANK CYCLING TEAM JUNIOR</t>
  </si>
  <si>
    <t>U.C.MONACO</t>
  </si>
  <si>
    <t>ASD CAMPOBELLO RUNNING &amp; BIKE</t>
  </si>
  <si>
    <t>DEKA RIDERS TEAM ASD</t>
  </si>
  <si>
    <t>ZHIRAF</t>
  </si>
  <si>
    <t>BELGIO</t>
  </si>
  <si>
    <t>KK NOVO MESTO</t>
  </si>
  <si>
    <t>AXION FUTURE TEAM</t>
  </si>
  <si>
    <t>ASD VELO CLUB AVEZZANO BIKE LINEAORO</t>
  </si>
  <si>
    <t>SLOVENIA NATIONAL TEAM</t>
  </si>
  <si>
    <t>ACADEMY U19 REGION SUD</t>
  </si>
  <si>
    <t>NEUTRAL TEAM</t>
  </si>
  <si>
    <t>OVERALL TRE COLLI CYCLING TEAM</t>
  </si>
  <si>
    <t>PC BAIX EBRE TORTOSA</t>
  </si>
  <si>
    <t>BMX CLUB SARRIANS</t>
  </si>
  <si>
    <t>TEAM ESSERE</t>
  </si>
  <si>
    <t>PRO.GI.T. CYCLING TEAM</t>
  </si>
  <si>
    <t>ARKITANO MTB CLUB</t>
  </si>
  <si>
    <t>ENERGY TEAM A.S.D.</t>
  </si>
  <si>
    <t>RKC ROMAN KREUZIGER</t>
  </si>
  <si>
    <t>AUSTRIA</t>
  </si>
  <si>
    <t>CANADA</t>
  </si>
  <si>
    <t>FRANCIA</t>
  </si>
  <si>
    <t>STATI UNITI</t>
  </si>
  <si>
    <t>REPUBBLICA CECA</t>
  </si>
  <si>
    <t>GERMANIA</t>
  </si>
  <si>
    <t>S.C. VALLE SERIANA - CENE A.S.D.</t>
  </si>
  <si>
    <t>ESTONIA</t>
  </si>
  <si>
    <t>DANIMARCA</t>
  </si>
  <si>
    <t>LETTONIA</t>
  </si>
  <si>
    <t>LUSSEMBURGO</t>
  </si>
  <si>
    <t>IRLANDA</t>
  </si>
  <si>
    <t>SVEZIA</t>
  </si>
  <si>
    <t>UCRAINA</t>
  </si>
  <si>
    <t>SOUDAL QUICK-STEP JUNIOR TEAM</t>
  </si>
  <si>
    <t>GI ESSE PRO CYCLING</t>
  </si>
  <si>
    <t>PETROLIKE</t>
  </si>
  <si>
    <t>NEXETIS TEAM</t>
  </si>
  <si>
    <t>UAE DEVELOPMENT TEAM</t>
  </si>
  <si>
    <t>NAZIONALE PARALIMPICA</t>
  </si>
  <si>
    <t>U.C. PREGNANA</t>
  </si>
  <si>
    <t>TEAM MAZZOLA P.G.C. U23</t>
  </si>
  <si>
    <t>GIFU DAIICHI HIGH SCHOOL</t>
  </si>
  <si>
    <t>A.S.D. U.C. PISTOIESE TEAM</t>
  </si>
  <si>
    <t>CANNIBAL BAHRAIN VICTORIUS</t>
  </si>
  <si>
    <t>AVC AIX EN PROVENCE</t>
  </si>
  <si>
    <t>TEAM PROMOTECH - MG K-VIS</t>
  </si>
  <si>
    <t>MENTECORPO TEAM</t>
  </si>
  <si>
    <t>CRABBE DSTNY</t>
  </si>
  <si>
    <t>GRUPPO SPORTIVO PARMENSE</t>
  </si>
  <si>
    <t>AIRTOX - CARL RAS</t>
  </si>
  <si>
    <t>GROUWELS - WATERSLEY R&amp;D</t>
  </si>
  <si>
    <t>DAL RISO AL ROSA</t>
  </si>
  <si>
    <t>POLISH CYCLING FEDERATION</t>
  </si>
  <si>
    <t>ASD TEAM MOOVEO</t>
  </si>
  <si>
    <t>VPT WHY SPORT</t>
  </si>
  <si>
    <t>TEAM GAIAPLAST BIBANESE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</si>
</sst>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3">
    <font>
      <sz val="11"/>
      <color theme="1"/>
      <name val="Calibri"/>
      <charset val="134"/>
      <scheme val="minor"/>
    </font>
    <font>
      <i/>
      <sz val="9"/>
      <color rgb="FF7A7F84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B30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5" customWidth="1"/>
    <col min="2" max="3" width="32" customWidth="1"/>
    <col min="4" max="4" width="14" customWidth="1"/>
    <col min="5" max="5" width="40" customWidth="1"/>
    <col min="6" max="6" width="24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 t="s">
        <v>6</v>
      </c>
      <c r="C2" t="s">
        <v>7</v>
      </c>
      <c r="D2" t="str">
        <f>HYPERLINK("https://www.procyclingstats.com/search.php?term=ACTIS+SAMUELE","Cerca")</f>
        <v>Cerca</v>
      </c>
    </row>
    <row r="3" spans="1:6">
      <c r="A3">
        <v>2</v>
      </c>
      <c r="B3" t="s">
        <v>8</v>
      </c>
      <c r="C3" t="s">
        <v>9</v>
      </c>
      <c r="D3" t="str">
        <f>HYPERLINK("https://www.procyclingstats.com/search.php?term=ARGENTINO+SALVATORE","Cerca")</f>
        <v>Cerca</v>
      </c>
    </row>
    <row r="4" spans="1:6">
      <c r="A4">
        <v>3</v>
      </c>
      <c r="B4" t="s">
        <v>10</v>
      </c>
      <c r="C4" t="s">
        <v>11</v>
      </c>
      <c r="D4" t="str">
        <f>HYPERLINK("https://www.procyclingstats.com/search.php?term=ASTORRI+MARTINO","Cerca")</f>
        <v>Cerca</v>
      </c>
    </row>
    <row r="5" spans="1:6">
      <c r="A5">
        <v>4</v>
      </c>
      <c r="B5" t="s">
        <v>12</v>
      </c>
      <c r="C5" t="s">
        <v>13</v>
      </c>
      <c r="D5" t="str">
        <f>HYPERLINK("https://www.procyclingstats.com/search.php?term=AYALA+ARELLANO+EDUARD+EMANUEL","Cerca")</f>
        <v>Cerca</v>
      </c>
    </row>
    <row r="6" spans="1:6">
      <c r="A6">
        <v>5</v>
      </c>
      <c r="B6" t="s">
        <v>14</v>
      </c>
      <c r="C6" t="s">
        <v>15</v>
      </c>
      <c r="D6" t="str">
        <f>HYPERLINK("https://www.procyclingstats.com/search.php?term=Alhach+Gaetanna","Cerca")</f>
        <v>Cerca</v>
      </c>
    </row>
    <row r="7" spans="1:6">
      <c r="A7">
        <v>6</v>
      </c>
      <c r="B7" t="s">
        <v>16</v>
      </c>
      <c r="C7" t="s">
        <v>17</v>
      </c>
      <c r="D7" t="str">
        <f>HYPERLINK("https://www.procyclingstats.com/search.php?term=Amondarain+Naia","Cerca")</f>
        <v>Cerca</v>
      </c>
    </row>
    <row r="8" spans="1:6">
      <c r="A8">
        <v>7</v>
      </c>
      <c r="B8" t="s">
        <v>18</v>
      </c>
      <c r="C8" t="s">
        <v>19</v>
      </c>
      <c r="D8" t="str">
        <f>HYPERLINK("https://www.procyclingstats.com/search.php?term=Anderson+Solbjørk+Minke","Cerca")</f>
        <v>Cerca</v>
      </c>
    </row>
    <row r="9" spans="1:6">
      <c r="A9">
        <v>8</v>
      </c>
      <c r="B9" t="s">
        <v>20</v>
      </c>
      <c r="C9" t="s">
        <v>21</v>
      </c>
      <c r="D9" t="str">
        <f>HYPERLINK("https://www.procyclingstats.com/search.php?term=Aubry+Julia","Cerca")</f>
        <v>Cerca</v>
      </c>
    </row>
    <row r="10" spans="1:6">
      <c r="A10">
        <v>9</v>
      </c>
      <c r="B10" t="s">
        <v>22</v>
      </c>
      <c r="C10" t="s">
        <v>23</v>
      </c>
      <c r="D10" t="str">
        <f>HYPERLINK("https://www.procyclingstats.com/search.php?term=Azzini+Tuan","Cerca")</f>
        <v>Cerca</v>
      </c>
    </row>
    <row r="11" spans="1:6">
      <c r="A11">
        <v>10</v>
      </c>
      <c r="B11" t="s">
        <v>24</v>
      </c>
      <c r="C11" t="s">
        <v>25</v>
      </c>
      <c r="D11" t="str">
        <f>HYPERLINK("https://www.procyclingstats.com/search.php?term=BALLIANA+ENRICO","Cerca")</f>
        <v>Cerca</v>
      </c>
    </row>
    <row r="12" spans="1:6">
      <c r="A12">
        <v>11</v>
      </c>
      <c r="B12" t="s">
        <v>26</v>
      </c>
      <c r="C12" t="s">
        <v>27</v>
      </c>
      <c r="D12" t="str">
        <f>HYPERLINK("https://www.procyclingstats.com/search.php?term=BANDINI+FILIPPO","Cerca")</f>
        <v>Cerca</v>
      </c>
    </row>
    <row r="13" spans="1:6">
      <c r="A13">
        <v>12</v>
      </c>
      <c r="B13" t="s">
        <v>28</v>
      </c>
      <c r="C13" t="s">
        <v>29</v>
      </c>
      <c r="D13" t="str">
        <f>HYPERLINK("https://www.procyclingstats.com/search.php?term=BANNER+WIL","Cerca")</f>
        <v>Cerca</v>
      </c>
    </row>
    <row r="14" spans="1:6">
      <c r="A14">
        <v>13</v>
      </c>
      <c r="B14" t="s">
        <v>30</v>
      </c>
      <c r="C14" t="s">
        <v>31</v>
      </c>
      <c r="D14" t="str">
        <f>HYPERLINK("https://www.procyclingstats.com/search.php?term=BERARDI+MICHELE","Cerca")</f>
        <v>Cerca</v>
      </c>
    </row>
    <row r="15" spans="1:6">
      <c r="A15">
        <v>14</v>
      </c>
      <c r="B15" t="s">
        <v>32</v>
      </c>
      <c r="C15" t="s">
        <v>33</v>
      </c>
      <c r="D15" t="str">
        <f>HYPERLINK("https://www.procyclingstats.com/search.php?term=BOLZONI+SIMONE","Cerca")</f>
        <v>Cerca</v>
      </c>
    </row>
    <row r="16" spans="1:6">
      <c r="A16">
        <v>15</v>
      </c>
      <c r="B16" t="s">
        <v>34</v>
      </c>
      <c r="C16" t="s">
        <v>35</v>
      </c>
      <c r="D16" t="str">
        <f>HYPERLINK("https://www.procyclingstats.com/search.php?term=Balestri+Mattia","Cerca")</f>
        <v>Cerca</v>
      </c>
    </row>
    <row r="17" spans="1:4">
      <c r="A17">
        <v>16</v>
      </c>
      <c r="B17" t="s">
        <v>36</v>
      </c>
      <c r="C17" t="s">
        <v>37</v>
      </c>
      <c r="D17" t="str">
        <f>HYPERLINK("https://www.procyclingstats.com/search.php?term=Bembi+Mattia","Cerca")</f>
        <v>Cerca</v>
      </c>
    </row>
    <row r="18" spans="1:4">
      <c r="A18">
        <v>17</v>
      </c>
      <c r="B18" t="s">
        <v>38</v>
      </c>
      <c r="C18" t="s">
        <v>39</v>
      </c>
      <c r="D18" t="str">
        <f>HYPERLINK("https://www.procyclingstats.com/search.php?term=Benassi+Matteo","Cerca")</f>
        <v>Cerca</v>
      </c>
    </row>
    <row r="19" spans="1:4">
      <c r="A19">
        <v>18</v>
      </c>
      <c r="B19" t="s">
        <v>40</v>
      </c>
      <c r="C19" t="s">
        <v>41</v>
      </c>
      <c r="D19" t="str">
        <f>HYPERLINK("https://www.procyclingstats.com/search.php?term=Benito+Adrián","Cerca")</f>
        <v>Cerca</v>
      </c>
    </row>
    <row r="20" spans="1:4">
      <c r="A20">
        <v>19</v>
      </c>
      <c r="B20" t="s">
        <v>42</v>
      </c>
      <c r="C20" t="s">
        <v>43</v>
      </c>
      <c r="D20" t="str">
        <f>HYPERLINK("https://www.procyclingstats.com/search.php?term=Bettelli+Davide","Cerca")</f>
        <v>Cerca</v>
      </c>
    </row>
    <row r="21" spans="1:4">
      <c r="A21">
        <v>20</v>
      </c>
      <c r="B21" t="s">
        <v>44</v>
      </c>
      <c r="C21" t="s">
        <v>45</v>
      </c>
      <c r="D21" t="str">
        <f>HYPERLINK("https://www.procyclingstats.com/search.php?term=Binda+Rossetti","Cerca")</f>
        <v>Cerca</v>
      </c>
    </row>
    <row r="22" spans="1:4">
      <c r="A22">
        <v>21</v>
      </c>
      <c r="B22" t="s">
        <v>46</v>
      </c>
      <c r="C22" t="s">
        <v>47</v>
      </c>
      <c r="D22" t="str">
        <f>HYPERLINK("https://www.procyclingstats.com/search.php?term=Bovo+Bianto+Kylian","Cerca")</f>
        <v>Cerca</v>
      </c>
    </row>
    <row r="23" spans="1:4">
      <c r="A23">
        <v>22</v>
      </c>
      <c r="B23" t="s">
        <v>48</v>
      </c>
      <c r="C23" t="s">
        <v>49</v>
      </c>
      <c r="D23" t="str">
        <f>HYPERLINK("https://www.procyclingstats.com/search.php?term=Brugier+Robin","Cerca")</f>
        <v>Cerca</v>
      </c>
    </row>
    <row r="24" spans="1:4">
      <c r="A24">
        <v>23</v>
      </c>
      <c r="B24" t="s">
        <v>50</v>
      </c>
      <c r="C24" t="s">
        <v>51</v>
      </c>
      <c r="D24" t="str">
        <f>HYPERLINK("https://www.procyclingstats.com/search.php?term=Buijsman+Nina","Cerca")</f>
        <v>Cerca</v>
      </c>
    </row>
    <row r="25" spans="1:4">
      <c r="A25">
        <v>24</v>
      </c>
      <c r="B25" t="s">
        <v>52</v>
      </c>
      <c r="C25" t="s">
        <v>53</v>
      </c>
      <c r="D25" t="str">
        <f>HYPERLINK("https://www.procyclingstats.com/search.php?term=CANCHON+GIL+JUAN+ESTEBAN","Cerca")</f>
        <v>Cerca</v>
      </c>
    </row>
    <row r="26" spans="1:4">
      <c r="A26">
        <v>25</v>
      </c>
      <c r="B26" t="s">
        <v>54</v>
      </c>
      <c r="C26" t="s">
        <v>55</v>
      </c>
      <c r="D26" t="str">
        <f>HYPERLINK("https://www.procyclingstats.com/search.php?term=CARUSO+SALVATORE","Cerca")</f>
        <v>Cerca</v>
      </c>
    </row>
    <row r="27" spans="1:4">
      <c r="A27">
        <v>26</v>
      </c>
      <c r="B27" t="s">
        <v>56</v>
      </c>
      <c r="C27" t="s">
        <v>57</v>
      </c>
      <c r="D27" t="str">
        <f>HYPERLINK("https://www.procyclingstats.com/search.php?term=CHYZHYKOV+HMORHII","Cerca")</f>
        <v>Cerca</v>
      </c>
    </row>
    <row r="28" spans="1:4">
      <c r="A28">
        <v>27</v>
      </c>
      <c r="B28" t="s">
        <v>58</v>
      </c>
      <c r="C28" t="s">
        <v>59</v>
      </c>
      <c r="D28" t="str">
        <f>HYPERLINK("https://www.procyclingstats.com/search.php?term=COATES+BENJAMIN","Cerca")</f>
        <v>Cerca</v>
      </c>
    </row>
    <row r="29" spans="1:4">
      <c r="A29">
        <v>28</v>
      </c>
      <c r="B29" t="s">
        <v>60</v>
      </c>
      <c r="C29" t="s">
        <v>61</v>
      </c>
      <c r="D29" t="str">
        <f>HYPERLINK("https://www.procyclingstats.com/search.php?term=COMETTO+FILIPPO","Cerca")</f>
        <v>Cerca</v>
      </c>
    </row>
    <row r="30" spans="1:4">
      <c r="A30">
        <v>29</v>
      </c>
      <c r="B30" t="s">
        <v>62</v>
      </c>
      <c r="C30" t="s">
        <v>63</v>
      </c>
      <c r="D30" t="str">
        <f>HYPERLINK("https://www.procyclingstats.com/search.php?term=CONGIU+FILIPPO","Cerca")</f>
        <v>Cerca</v>
      </c>
    </row>
    <row r="31" spans="1:4">
      <c r="A31">
        <v>30</v>
      </c>
      <c r="B31" t="s">
        <v>64</v>
      </c>
      <c r="C31" t="s">
        <v>65</v>
      </c>
      <c r="D31" t="str">
        <f>HYPERLINK("https://www.procyclingstats.com/search.php?term=Canino+Giuseppe","Cerca")</f>
        <v>Cerca</v>
      </c>
    </row>
    <row r="32" spans="1:4">
      <c r="A32">
        <v>31</v>
      </c>
      <c r="B32" t="s">
        <v>66</v>
      </c>
      <c r="C32" t="s">
        <v>67</v>
      </c>
      <c r="D32" t="str">
        <f>HYPERLINK("https://www.procyclingstats.com/search.php?term=Capelli+Luca","Cerca")</f>
        <v>Cerca</v>
      </c>
    </row>
    <row r="33" spans="1:4">
      <c r="A33">
        <v>32</v>
      </c>
      <c r="B33" t="s">
        <v>68</v>
      </c>
      <c r="C33" t="s">
        <v>69</v>
      </c>
      <c r="D33" t="str">
        <f>HYPERLINK("https://www.procyclingstats.com/search.php?term=Caroppo+Cristian","Cerca")</f>
        <v>Cerca</v>
      </c>
    </row>
    <row r="34" spans="1:4">
      <c r="A34">
        <v>33</v>
      </c>
      <c r="B34" t="s">
        <v>70</v>
      </c>
      <c r="C34" t="s">
        <v>71</v>
      </c>
      <c r="D34" t="str">
        <f>HYPERLINK("https://www.procyclingstats.com/search.php?term=Caselli+Armin","Cerca")</f>
        <v>Cerca</v>
      </c>
    </row>
    <row r="35" spans="1:4">
      <c r="A35">
        <v>34</v>
      </c>
      <c r="B35" t="s">
        <v>72</v>
      </c>
      <c r="C35" t="s">
        <v>73</v>
      </c>
      <c r="D35" t="str">
        <f>HYPERLINK("https://www.procyclingstats.com/search.php?term=Catellani+Marco","Cerca")</f>
        <v>Cerca</v>
      </c>
    </row>
    <row r="36" spans="1:4">
      <c r="A36">
        <v>35</v>
      </c>
      <c r="B36" t="s">
        <v>74</v>
      </c>
      <c r="C36" t="s">
        <v>75</v>
      </c>
      <c r="D36" t="str">
        <f>HYPERLINK("https://www.procyclingstats.com/search.php?term=Cazzaniga+Filippo","Cerca")</f>
        <v>Cerca</v>
      </c>
    </row>
    <row r="37" spans="1:4">
      <c r="A37">
        <v>36</v>
      </c>
      <c r="B37" t="s">
        <v>76</v>
      </c>
      <c r="C37" t="s">
        <v>77</v>
      </c>
      <c r="D37" t="str">
        <f>HYPERLINK("https://www.procyclingstats.com/search.php?term=Cisneros+Luis+Isuhan","Cerca")</f>
        <v>Cerca</v>
      </c>
    </row>
    <row r="38" spans="1:4">
      <c r="A38">
        <v>37</v>
      </c>
      <c r="B38" t="s">
        <v>78</v>
      </c>
      <c r="C38" t="s">
        <v>79</v>
      </c>
      <c r="D38" t="str">
        <f>HYPERLINK("https://www.procyclingstats.com/search.php?term=Costa-Starrico+Giulia","Cerca")</f>
        <v>Cerca</v>
      </c>
    </row>
    <row r="39" spans="1:4">
      <c r="A39">
        <v>38</v>
      </c>
      <c r="B39" t="s">
        <v>80</v>
      </c>
      <c r="C39" t="s">
        <v>81</v>
      </c>
      <c r="D39" t="str">
        <f>HYPERLINK("https://www.procyclingstats.com/search.php?term=Cuda+Gabriele","Cerca")</f>
        <v>Cerca</v>
      </c>
    </row>
    <row r="40" spans="1:4">
      <c r="A40">
        <v>39</v>
      </c>
      <c r="B40" t="s">
        <v>82</v>
      </c>
      <c r="C40" t="s">
        <v>83</v>
      </c>
      <c r="D40" t="str">
        <f>HYPERLINK("https://www.procyclingstats.com/search.php?term=Czeczinkarová+Jana","Cerca")</f>
        <v>Cerca</v>
      </c>
    </row>
    <row r="41" spans="1:4">
      <c r="A41">
        <v>40</v>
      </c>
      <c r="B41" t="s">
        <v>84</v>
      </c>
      <c r="C41" t="s">
        <v>85</v>
      </c>
      <c r="D41" t="str">
        <f>HYPERLINK("https://www.procyclingstats.com/search.php?term=D'APOLLONIO+REBECCA","Cerca")</f>
        <v>Cerca</v>
      </c>
    </row>
    <row r="42" spans="1:4">
      <c r="A42">
        <v>41</v>
      </c>
      <c r="B42" t="s">
        <v>86</v>
      </c>
      <c r="C42" t="s">
        <v>87</v>
      </c>
      <c r="D42" t="str">
        <f>HYPERLINK("https://www.procyclingstats.com/search.php?term=DALLA+BONA+THOMAS","Cerca")</f>
        <v>Cerca</v>
      </c>
    </row>
    <row r="43" spans="1:4">
      <c r="A43">
        <v>42</v>
      </c>
      <c r="B43" t="s">
        <v>88</v>
      </c>
      <c r="C43" t="s">
        <v>89</v>
      </c>
      <c r="D43" t="str">
        <f>HYPERLINK("https://www.procyclingstats.com/search.php?term=DALLA+PRIA+GIACOMO","Cerca")</f>
        <v>Cerca</v>
      </c>
    </row>
    <row r="44" spans="1:4">
      <c r="A44">
        <v>43</v>
      </c>
      <c r="B44" t="s">
        <v>90</v>
      </c>
      <c r="C44" t="s">
        <v>91</v>
      </c>
      <c r="D44" t="str">
        <f>HYPERLINK("https://www.procyclingstats.com/search.php?term=DALLE+CRODE+LORENZO","Cerca")</f>
        <v>Cerca</v>
      </c>
    </row>
    <row r="45" spans="1:4">
      <c r="A45">
        <v>44</v>
      </c>
      <c r="B45" t="s">
        <v>92</v>
      </c>
      <c r="C45" t="s">
        <v>93</v>
      </c>
      <c r="D45" t="str">
        <f>HYPERLINK("https://www.procyclingstats.com/search.php?term=DE+GRANDIS+MICHELA","Cerca")</f>
        <v>Cerca</v>
      </c>
    </row>
    <row r="46" spans="1:4">
      <c r="A46">
        <v>45</v>
      </c>
      <c r="B46" t="s">
        <v>94</v>
      </c>
      <c r="C46" t="s">
        <v>95</v>
      </c>
      <c r="D46" t="str">
        <f>HYPERLINK("https://www.procyclingstats.com/search.php?term=DE+MERCANTI+LUCA","Cerca")</f>
        <v>Cerca</v>
      </c>
    </row>
    <row r="47" spans="1:4">
      <c r="A47">
        <v>46</v>
      </c>
      <c r="B47" t="s">
        <v>96</v>
      </c>
      <c r="C47" t="s">
        <v>97</v>
      </c>
      <c r="D47" t="str">
        <f>HYPERLINK("https://www.procyclingstats.com/search.php?term=DE+MONTE+MATTEO","Cerca")</f>
        <v>Cerca</v>
      </c>
    </row>
    <row r="48" spans="1:4">
      <c r="A48">
        <v>47</v>
      </c>
      <c r="B48" t="s">
        <v>98</v>
      </c>
      <c r="C48" t="s">
        <v>99</v>
      </c>
      <c r="D48" t="str">
        <f>HYPERLINK("https://www.procyclingstats.com/search.php?term=DE+SMET+VIC","Cerca")</f>
        <v>Cerca</v>
      </c>
    </row>
    <row r="49" spans="1:4">
      <c r="A49">
        <v>48</v>
      </c>
      <c r="B49" t="s">
        <v>100</v>
      </c>
      <c r="C49" t="s">
        <v>101</v>
      </c>
      <c r="D49" t="str">
        <f>HYPERLINK("https://www.procyclingstats.com/search.php?term=DELL'OLIO+FRANCESCO","Cerca")</f>
        <v>Cerca</v>
      </c>
    </row>
    <row r="50" spans="1:4">
      <c r="A50">
        <v>49</v>
      </c>
      <c r="B50" t="s">
        <v>102</v>
      </c>
      <c r="C50" t="s">
        <v>103</v>
      </c>
      <c r="D50" t="str">
        <f>HYPERLINK("https://www.procyclingstats.com/search.php?term=DELLA+TORRE+CARLO","Cerca")</f>
        <v>Cerca</v>
      </c>
    </row>
    <row r="51" spans="1:4">
      <c r="A51">
        <v>50</v>
      </c>
      <c r="B51" t="s">
        <v>104</v>
      </c>
      <c r="C51" t="s">
        <v>105</v>
      </c>
      <c r="D51" t="str">
        <f>HYPERLINK("https://www.procyclingstats.com/search.php?term=DERGANC+ANTON","Cerca")</f>
        <v>Cerca</v>
      </c>
    </row>
    <row r="52" spans="1:4">
      <c r="A52">
        <v>51</v>
      </c>
      <c r="B52" t="s">
        <v>106</v>
      </c>
      <c r="C52" t="s">
        <v>107</v>
      </c>
      <c r="D52" t="str">
        <f>HYPERLINK("https://www.procyclingstats.com/search.php?term=DI+PRIMA+CHRISTIAN","Cerca")</f>
        <v>Cerca</v>
      </c>
    </row>
    <row r="53" spans="1:4">
      <c r="A53">
        <v>52</v>
      </c>
      <c r="B53" t="s">
        <v>108</v>
      </c>
      <c r="C53" t="s">
        <v>109</v>
      </c>
      <c r="D53" t="str">
        <f>HYPERLINK("https://www.procyclingstats.com/search.php?term=DI+SANTO+LEONARDO","Cerca")</f>
        <v>Cerca</v>
      </c>
    </row>
    <row r="54" spans="1:4">
      <c r="A54">
        <v>53</v>
      </c>
      <c r="B54" t="s">
        <v>110</v>
      </c>
      <c r="C54" t="s">
        <v>111</v>
      </c>
      <c r="D54" t="str">
        <f>HYPERLINK("https://www.procyclingstats.com/search.php?term=DOVESI+MANUEL","Cerca")</f>
        <v>Cerca</v>
      </c>
    </row>
    <row r="55" spans="1:4">
      <c r="A55">
        <v>54</v>
      </c>
      <c r="B55" t="s">
        <v>112</v>
      </c>
      <c r="C55" t="s">
        <v>113</v>
      </c>
      <c r="D55" t="str">
        <f>HYPERLINK("https://www.procyclingstats.com/search.php?term=Dalla+Cia+Alberto","Cerca")</f>
        <v>Cerca</v>
      </c>
    </row>
    <row r="56" spans="1:4">
      <c r="A56">
        <v>55</v>
      </c>
      <c r="B56" t="s">
        <v>114</v>
      </c>
      <c r="C56" t="s">
        <v>115</v>
      </c>
      <c r="D56" t="str">
        <f>HYPERLINK("https://www.procyclingstats.com/search.php?term=Dalla+Valle+Andrea","Cerca")</f>
        <v>Cerca</v>
      </c>
    </row>
    <row r="57" spans="1:4">
      <c r="A57">
        <v>56</v>
      </c>
      <c r="B57" t="s">
        <v>116</v>
      </c>
      <c r="C57" t="s">
        <v>117</v>
      </c>
      <c r="D57" t="str">
        <f>HYPERLINK("https://www.procyclingstats.com/search.php?term=Dalle+Carbonare+Loris","Cerca")</f>
        <v>Cerca</v>
      </c>
    </row>
    <row r="58" spans="1:4">
      <c r="A58">
        <v>57</v>
      </c>
      <c r="B58" t="s">
        <v>118</v>
      </c>
      <c r="C58" t="s">
        <v>119</v>
      </c>
      <c r="D58" t="str">
        <f>HYPERLINK("https://www.procyclingstats.com/search.php?term=De+Buysser+Auke","Cerca")</f>
        <v>Cerca</v>
      </c>
    </row>
    <row r="59" spans="1:4">
      <c r="A59">
        <v>58</v>
      </c>
      <c r="B59" t="s">
        <v>120</v>
      </c>
      <c r="C59" t="s">
        <v>121</v>
      </c>
      <c r="D59" t="str">
        <f>HYPERLINK("https://www.procyclingstats.com/search.php?term=De+Fabritiis+Gabriele","Cerca")</f>
        <v>Cerca</v>
      </c>
    </row>
    <row r="60" spans="1:4">
      <c r="A60">
        <v>59</v>
      </c>
      <c r="B60" t="s">
        <v>122</v>
      </c>
      <c r="C60" t="s">
        <v>123</v>
      </c>
      <c r="D60" t="str">
        <f>HYPERLINK("https://www.procyclingstats.com/search.php?term=De+Keersmaeker+Audrey","Cerca")</f>
        <v>Cerca</v>
      </c>
    </row>
    <row r="61" spans="1:4">
      <c r="A61">
        <v>60</v>
      </c>
      <c r="B61" t="s">
        <v>124</v>
      </c>
      <c r="C61" t="s">
        <v>125</v>
      </c>
      <c r="D61" t="str">
        <f>HYPERLINK("https://www.procyclingstats.com/search.php?term=De+Lazzer+Agnese","Cerca")</f>
        <v>Cerca</v>
      </c>
    </row>
    <row r="62" spans="1:4">
      <c r="A62">
        <v>61</v>
      </c>
      <c r="B62" t="s">
        <v>126</v>
      </c>
      <c r="C62" t="s">
        <v>127</v>
      </c>
      <c r="D62" t="str">
        <f>HYPERLINK("https://www.procyclingstats.com/search.php?term=De+Rensis+Stefano","Cerca")</f>
        <v>Cerca</v>
      </c>
    </row>
    <row r="63" spans="1:4">
      <c r="A63">
        <v>62</v>
      </c>
      <c r="B63" t="s">
        <v>128</v>
      </c>
      <c r="C63" t="s">
        <v>129</v>
      </c>
      <c r="D63" t="str">
        <f>HYPERLINK("https://www.procyclingstats.com/search.php?term=De+Vallier+Elisa","Cerca")</f>
        <v>Cerca</v>
      </c>
    </row>
    <row r="64" spans="1:4">
      <c r="A64">
        <v>63</v>
      </c>
      <c r="B64" t="s">
        <v>130</v>
      </c>
      <c r="C64" t="s">
        <v>131</v>
      </c>
      <c r="D64" t="str">
        <f>HYPERLINK("https://www.procyclingstats.com/search.php?term=Devos+Victor","Cerca")</f>
        <v>Cerca</v>
      </c>
    </row>
    <row r="65" spans="1:4">
      <c r="A65">
        <v>64</v>
      </c>
      <c r="B65" t="s">
        <v>132</v>
      </c>
      <c r="C65" t="s">
        <v>133</v>
      </c>
      <c r="D65" t="str">
        <f>HYPERLINK("https://www.procyclingstats.com/search.php?term=Di+Vita+Federico","Cerca")</f>
        <v>Cerca</v>
      </c>
    </row>
    <row r="66" spans="1:4">
      <c r="A66">
        <v>65</v>
      </c>
      <c r="B66" t="s">
        <v>134</v>
      </c>
      <c r="C66" t="s">
        <v>135</v>
      </c>
      <c r="D66" t="str">
        <f>HYPERLINK("https://www.procyclingstats.com/search.php?term=Dones+Mattia","Cerca")</f>
        <v>Cerca</v>
      </c>
    </row>
    <row r="67" spans="1:4">
      <c r="A67">
        <v>66</v>
      </c>
      <c r="B67" t="s">
        <v>136</v>
      </c>
      <c r="C67" t="s">
        <v>137</v>
      </c>
      <c r="D67" t="str">
        <f>HYPERLINK("https://www.procyclingstats.com/search.php?term=Elsäßer+Luan","Cerca")</f>
        <v>Cerca</v>
      </c>
    </row>
    <row r="68" spans="1:4">
      <c r="A68">
        <v>67</v>
      </c>
      <c r="B68" t="s">
        <v>138</v>
      </c>
      <c r="C68" t="s">
        <v>139</v>
      </c>
      <c r="D68" t="str">
        <f>HYPERLINK("https://www.procyclingstats.com/search.php?term=FARAZ+KHATIEB","Cerca")</f>
        <v>Cerca</v>
      </c>
    </row>
    <row r="69" spans="1:4">
      <c r="A69">
        <v>68</v>
      </c>
      <c r="B69" t="s">
        <v>140</v>
      </c>
      <c r="C69" t="s">
        <v>141</v>
      </c>
      <c r="D69" t="str">
        <f>HYPERLINK("https://www.procyclingstats.com/search.php?term=FOLEGANI+MATTIA","Cerca")</f>
        <v>Cerca</v>
      </c>
    </row>
    <row r="70" spans="1:4">
      <c r="A70">
        <v>69</v>
      </c>
      <c r="B70" t="s">
        <v>142</v>
      </c>
      <c r="C70" t="s">
        <v>143</v>
      </c>
      <c r="D70" t="str">
        <f>HYPERLINK("https://www.procyclingstats.com/search.php?term=FRATICELLI+LUCA","Cerca")</f>
        <v>Cerca</v>
      </c>
    </row>
    <row r="71" spans="1:4">
      <c r="A71">
        <v>70</v>
      </c>
      <c r="B71" t="s">
        <v>144</v>
      </c>
      <c r="C71" t="s">
        <v>145</v>
      </c>
      <c r="D71" t="str">
        <f>HYPERLINK("https://www.procyclingstats.com/search.php?term=Felipe+Quotadamo","Cerca")</f>
        <v>Cerca</v>
      </c>
    </row>
    <row r="72" spans="1:4">
      <c r="A72">
        <v>71</v>
      </c>
      <c r="B72" t="s">
        <v>146</v>
      </c>
      <c r="C72" t="s">
        <v>147</v>
      </c>
      <c r="D72" t="str">
        <f>HYPERLINK("https://www.procyclingstats.com/search.php?term=Flückiger+Dennis","Cerca")</f>
        <v>Cerca</v>
      </c>
    </row>
    <row r="73" spans="1:4">
      <c r="A73">
        <v>72</v>
      </c>
      <c r="B73" t="s">
        <v>148</v>
      </c>
      <c r="C73" t="s">
        <v>149</v>
      </c>
      <c r="D73" t="str">
        <f>HYPERLINK("https://www.procyclingstats.com/search.php?term=Francescangeli+Tommaso","Cerca")</f>
        <v>Cerca</v>
      </c>
    </row>
    <row r="74" spans="1:4">
      <c r="A74">
        <v>73</v>
      </c>
      <c r="B74" t="s">
        <v>150</v>
      </c>
      <c r="C74" t="s">
        <v>151</v>
      </c>
      <c r="D74" t="str">
        <f>HYPERLINK("https://www.procyclingstats.com/search.php?term=Frydkjær+Patrick+Boje","Cerca")</f>
        <v>Cerca</v>
      </c>
    </row>
    <row r="75" spans="1:4">
      <c r="A75">
        <v>74</v>
      </c>
      <c r="B75" t="s">
        <v>152</v>
      </c>
      <c r="C75" t="s">
        <v>153</v>
      </c>
      <c r="D75" t="str">
        <f>HYPERLINK("https://www.procyclingstats.com/search.php?term=GALFRE'+JACOPO","Cerca")</f>
        <v>Cerca</v>
      </c>
    </row>
    <row r="76" spans="1:4">
      <c r="A76">
        <v>75</v>
      </c>
      <c r="B76" t="s">
        <v>154</v>
      </c>
      <c r="C76" t="s">
        <v>155</v>
      </c>
      <c r="D76" t="str">
        <f>HYPERLINK("https://www.procyclingstats.com/search.php?term=GARCIA+BARENO+DOMINGUEZ+NABYENKA","Cerca")</f>
        <v>Cerca</v>
      </c>
    </row>
    <row r="77" spans="1:4">
      <c r="A77">
        <v>76</v>
      </c>
      <c r="B77" t="s">
        <v>156</v>
      </c>
      <c r="C77" t="s">
        <v>157</v>
      </c>
      <c r="D77" t="str">
        <f>HYPERLINK("https://www.procyclingstats.com/search.php?term=GENOVESE+RICCARDO","Cerca")</f>
        <v>Cerca</v>
      </c>
    </row>
    <row r="78" spans="1:4">
      <c r="A78">
        <v>77</v>
      </c>
      <c r="B78" t="s">
        <v>158</v>
      </c>
      <c r="C78" t="s">
        <v>159</v>
      </c>
      <c r="D78" t="str">
        <f>HYPERLINK("https://www.procyclingstats.com/search.php?term=GENTILE+ANGELO","Cerca")</f>
        <v>Cerca</v>
      </c>
    </row>
    <row r="79" spans="1:4">
      <c r="A79">
        <v>78</v>
      </c>
      <c r="B79" t="s">
        <v>160</v>
      </c>
      <c r="C79" t="s">
        <v>161</v>
      </c>
      <c r="D79" t="str">
        <f>HYPERLINK("https://www.procyclingstats.com/search.php?term=GERACI+SALVATORE","Cerca")</f>
        <v>Cerca</v>
      </c>
    </row>
    <row r="80" spans="1:4">
      <c r="A80">
        <v>79</v>
      </c>
      <c r="B80" t="s">
        <v>162</v>
      </c>
      <c r="C80" t="s">
        <v>163</v>
      </c>
      <c r="D80" t="str">
        <f>HYPERLINK("https://www.procyclingstats.com/search.php?term=GIOVANNINI+LEONARDO","Cerca")</f>
        <v>Cerca</v>
      </c>
    </row>
    <row r="81" spans="1:4">
      <c r="A81">
        <v>80</v>
      </c>
      <c r="B81" t="s">
        <v>164</v>
      </c>
      <c r="C81" t="s">
        <v>165</v>
      </c>
      <c r="D81" t="str">
        <f>HYPERLINK("https://www.procyclingstats.com/search.php?term=Gaffney+David","Cerca")</f>
        <v>Cerca</v>
      </c>
    </row>
    <row r="82" spans="1:4">
      <c r="A82">
        <v>81</v>
      </c>
      <c r="B82" t="s">
        <v>166</v>
      </c>
      <c r="C82" t="s">
        <v>167</v>
      </c>
      <c r="D82" t="str">
        <f>HYPERLINK("https://www.procyclingstats.com/search.php?term=Garcia+Rodrigo","Cerca")</f>
        <v>Cerca</v>
      </c>
    </row>
    <row r="83" spans="1:4">
      <c r="A83">
        <v>82</v>
      </c>
      <c r="B83" t="s">
        <v>168</v>
      </c>
      <c r="C83" t="s">
        <v>169</v>
      </c>
      <c r="D83" t="str">
        <f>HYPERLINK("https://www.procyclingstats.com/search.php?term=Genghini+Giacomo","Cerca")</f>
        <v>Cerca</v>
      </c>
    </row>
    <row r="84" spans="1:4">
      <c r="A84">
        <v>83</v>
      </c>
      <c r="B84" t="s">
        <v>170</v>
      </c>
      <c r="C84" t="s">
        <v>171</v>
      </c>
      <c r="D84" t="str">
        <f>HYPERLINK("https://www.procyclingstats.com/search.php?term=Gualtieri+Samuel","Cerca")</f>
        <v>Cerca</v>
      </c>
    </row>
    <row r="85" spans="1:4">
      <c r="A85">
        <v>84</v>
      </c>
      <c r="B85" t="s">
        <v>172</v>
      </c>
      <c r="C85" t="s">
        <v>173</v>
      </c>
      <c r="D85" t="str">
        <f>HYPERLINK("https://www.procyclingstats.com/search.php?term=HINOJOSA+CRUZ+ROMINA","Cerca")</f>
        <v>Cerca</v>
      </c>
    </row>
    <row r="86" spans="1:4">
      <c r="A86">
        <v>85</v>
      </c>
      <c r="B86" t="s">
        <v>174</v>
      </c>
      <c r="C86" t="s">
        <v>175</v>
      </c>
      <c r="D86" t="str">
        <f>HYPERLINK("https://www.procyclingstats.com/search.php?term=HIYOSHI+AYAKA","Cerca")</f>
        <v>Cerca</v>
      </c>
    </row>
    <row r="87" spans="1:4">
      <c r="A87">
        <v>86</v>
      </c>
      <c r="B87" t="s">
        <v>176</v>
      </c>
      <c r="C87" t="s">
        <v>177</v>
      </c>
      <c r="D87" t="str">
        <f>HYPERLINK("https://www.procyclingstats.com/search.php?term=IAKOVLEV+MATVEL","Cerca")</f>
        <v>Cerca</v>
      </c>
    </row>
    <row r="88" spans="1:4">
      <c r="A88">
        <v>87</v>
      </c>
      <c r="B88" t="s">
        <v>178</v>
      </c>
      <c r="C88" t="s">
        <v>179</v>
      </c>
      <c r="D88" t="str">
        <f>HYPERLINK("https://www.procyclingstats.com/search.php?term=IETTA+EDOARDO","Cerca")</f>
        <v>Cerca</v>
      </c>
    </row>
    <row r="89" spans="1:4">
      <c r="A89">
        <v>88</v>
      </c>
      <c r="B89" t="s">
        <v>180</v>
      </c>
      <c r="C89" t="s">
        <v>181</v>
      </c>
      <c r="D89" t="str">
        <f>HYPERLINK("https://www.procyclingstats.com/search.php?term=Iakolev+Matvei","Cerca")</f>
        <v>Cerca</v>
      </c>
    </row>
    <row r="90" spans="1:4">
      <c r="A90">
        <v>89</v>
      </c>
      <c r="B90" t="s">
        <v>182</v>
      </c>
      <c r="C90" t="s">
        <v>183</v>
      </c>
      <c r="D90" t="str">
        <f>HYPERLINK("https://www.procyclingstats.com/search.php?term=Jakobsons+Marks","Cerca")</f>
        <v>Cerca</v>
      </c>
    </row>
    <row r="91" spans="1:4">
      <c r="A91">
        <v>90</v>
      </c>
      <c r="B91" t="s">
        <v>184</v>
      </c>
      <c r="C91" t="s">
        <v>185</v>
      </c>
      <c r="D91" t="str">
        <f>HYPERLINK("https://www.procyclingstats.com/search.php?term=Johnson+Joshua","Cerca")</f>
        <v>Cerca</v>
      </c>
    </row>
    <row r="92" spans="1:4">
      <c r="A92">
        <v>91</v>
      </c>
      <c r="B92" t="s">
        <v>186</v>
      </c>
      <c r="C92" t="s">
        <v>187</v>
      </c>
      <c r="D92" t="str">
        <f>HYPERLINK("https://www.procyclingstats.com/search.php?term=Jørgensen+Tiril","Cerca")</f>
        <v>Cerca</v>
      </c>
    </row>
    <row r="93" spans="1:4">
      <c r="A93">
        <v>92</v>
      </c>
      <c r="B93" t="s">
        <v>188</v>
      </c>
      <c r="C93" t="s">
        <v>189</v>
      </c>
      <c r="D93" t="str">
        <f>HYPERLINK("https://www.procyclingstats.com/search.php?term=KLAU+JACKSON","Cerca")</f>
        <v>Cerca</v>
      </c>
    </row>
    <row r="94" spans="1:4">
      <c r="A94">
        <v>93</v>
      </c>
      <c r="B94" t="s">
        <v>190</v>
      </c>
      <c r="C94" t="s">
        <v>191</v>
      </c>
      <c r="D94" t="str">
        <f>HYPERLINK("https://www.procyclingstats.com/search.php?term=KONONENKO+VALERIIA","Cerca")</f>
        <v>Cerca</v>
      </c>
    </row>
    <row r="95" spans="1:4">
      <c r="A95">
        <v>94</v>
      </c>
      <c r="B95" t="s">
        <v>192</v>
      </c>
      <c r="C95" t="s">
        <v>193</v>
      </c>
      <c r="D95" t="str">
        <f>HYPERLINK("https://www.procyclingstats.com/search.php?term=KOSTINA+OLGA","Cerca")</f>
        <v>Cerca</v>
      </c>
    </row>
    <row r="96" spans="1:4">
      <c r="A96">
        <v>95</v>
      </c>
      <c r="B96" t="s">
        <v>194</v>
      </c>
      <c r="C96" t="s">
        <v>195</v>
      </c>
      <c r="D96" t="str">
        <f>HYPERLINK("https://www.procyclingstats.com/search.php?term=KUNTARIC+ZIBERT+VANJA","Cerca")</f>
        <v>Cerca</v>
      </c>
    </row>
    <row r="97" spans="1:4">
      <c r="A97">
        <v>96</v>
      </c>
      <c r="B97" t="s">
        <v>196</v>
      </c>
      <c r="C97" t="s">
        <v>197</v>
      </c>
      <c r="D97" t="str">
        <f>HYPERLINK("https://www.procyclingstats.com/search.php?term=Kancers+Helvijs","Cerca")</f>
        <v>Cerca</v>
      </c>
    </row>
    <row r="98" spans="1:4">
      <c r="A98">
        <v>97</v>
      </c>
      <c r="B98" t="s">
        <v>198</v>
      </c>
      <c r="C98" t="s">
        <v>199</v>
      </c>
      <c r="D98" t="str">
        <f>HYPERLINK("https://www.procyclingstats.com/search.php?term=Kołkowicz+Karolina","Cerca")</f>
        <v>Cerca</v>
      </c>
    </row>
    <row r="99" spans="1:4">
      <c r="A99">
        <v>98</v>
      </c>
      <c r="B99" t="s">
        <v>200</v>
      </c>
      <c r="C99" t="s">
        <v>201</v>
      </c>
      <c r="D99" t="str">
        <f>HYPERLINK("https://www.procyclingstats.com/search.php?term=LA+BELLA+ELEONORA","Cerca")</f>
        <v>Cerca</v>
      </c>
    </row>
    <row r="100" spans="1:4">
      <c r="A100">
        <v>99</v>
      </c>
      <c r="B100" t="s">
        <v>202</v>
      </c>
      <c r="C100" t="s">
        <v>203</v>
      </c>
      <c r="D100" t="str">
        <f>HYPERLINK("https://www.procyclingstats.com/search.php?term=LINGENHAG+LAURIN","Cerca")</f>
        <v>Cerca</v>
      </c>
    </row>
    <row r="101" spans="1:4">
      <c r="A101">
        <v>100</v>
      </c>
      <c r="B101" t="s">
        <v>204</v>
      </c>
      <c r="C101" t="s">
        <v>205</v>
      </c>
      <c r="D101" t="str">
        <f>HYPERLINK("https://www.procyclingstats.com/search.php?term=LOVER+MEDEOT+TOMAZ","Cerca")</f>
        <v>Cerca</v>
      </c>
    </row>
    <row r="102" spans="1:4">
      <c r="A102">
        <v>101</v>
      </c>
      <c r="B102" t="s">
        <v>206</v>
      </c>
      <c r="C102" t="s">
        <v>207</v>
      </c>
      <c r="D102" t="str">
        <f>HYPERLINK("https://www.procyclingstats.com/search.php?term=LUDWIG+UTTRUP+CECILIE","Cerca")</f>
        <v>Cerca</v>
      </c>
    </row>
    <row r="103" spans="1:4">
      <c r="A103">
        <v>102</v>
      </c>
      <c r="B103" t="s">
        <v>208</v>
      </c>
      <c r="C103" t="s">
        <v>209</v>
      </c>
      <c r="D103" t="str">
        <f>HYPERLINK("https://www.procyclingstats.com/search.php?term=La+Face+Giuseppe","Cerca")</f>
        <v>Cerca</v>
      </c>
    </row>
    <row r="104" spans="1:4">
      <c r="A104">
        <v>103</v>
      </c>
      <c r="B104" t="s">
        <v>210</v>
      </c>
      <c r="C104" t="s">
        <v>211</v>
      </c>
      <c r="D104" t="str">
        <f>HYPERLINK("https://www.procyclingstats.com/search.php?term=Lapi+Luca","Cerca")</f>
        <v>Cerca</v>
      </c>
    </row>
    <row r="105" spans="1:4">
      <c r="A105">
        <v>104</v>
      </c>
      <c r="B105" t="s">
        <v>212</v>
      </c>
      <c r="C105" t="s">
        <v>213</v>
      </c>
      <c r="D105" t="str">
        <f>HYPERLINK("https://www.procyclingstats.com/search.php?term=Lauria+Andrea","Cerca")</f>
        <v>Cerca</v>
      </c>
    </row>
    <row r="106" spans="1:4">
      <c r="A106">
        <v>105</v>
      </c>
      <c r="B106" t="s">
        <v>214</v>
      </c>
      <c r="C106" t="s">
        <v>215</v>
      </c>
      <c r="D106" t="str">
        <f>HYPERLINK("https://www.procyclingstats.com/search.php?term=Le+Court-Pienaar+Kim","Cerca")</f>
        <v>Cerca</v>
      </c>
    </row>
    <row r="107" spans="1:4">
      <c r="A107">
        <v>106</v>
      </c>
      <c r="B107" t="s">
        <v>216</v>
      </c>
      <c r="C107" t="s">
        <v>217</v>
      </c>
      <c r="D107" t="str">
        <f>HYPERLINK("https://www.procyclingstats.com/search.php?term=Lega+Niccolo'","Cerca")</f>
        <v>Cerca</v>
      </c>
    </row>
    <row r="108" spans="1:4">
      <c r="A108">
        <v>107</v>
      </c>
      <c r="B108" t="s">
        <v>218</v>
      </c>
      <c r="C108" t="s">
        <v>219</v>
      </c>
      <c r="D108" t="str">
        <f>HYPERLINK("https://www.procyclingstats.com/search.php?term=Limardo+Damiano","Cerca")</f>
        <v>Cerca</v>
      </c>
    </row>
    <row r="109" spans="1:4">
      <c r="A109">
        <v>108</v>
      </c>
      <c r="B109" t="s">
        <v>220</v>
      </c>
      <c r="C109" t="s">
        <v>221</v>
      </c>
      <c r="D109" t="str">
        <f>HYPERLINK("https://www.procyclingstats.com/search.php?term=Limonta+Daniele","Cerca")</f>
        <v>Cerca</v>
      </c>
    </row>
    <row r="110" spans="1:4">
      <c r="A110">
        <v>109</v>
      </c>
      <c r="B110" t="s">
        <v>222</v>
      </c>
      <c r="C110" t="s">
        <v>223</v>
      </c>
      <c r="D110" t="str">
        <f>HYPERLINK("https://www.procyclingstats.com/search.php?term=Lo+Piccolo+Domenico","Cerca")</f>
        <v>Cerca</v>
      </c>
    </row>
    <row r="111" spans="1:4">
      <c r="A111">
        <v>110</v>
      </c>
      <c r="B111" t="s">
        <v>224</v>
      </c>
      <c r="C111" t="s">
        <v>225</v>
      </c>
      <c r="D111" t="str">
        <f>HYPERLINK("https://www.procyclingstats.com/search.php?term=Londoño+Juliana","Cerca")</f>
        <v>Cerca</v>
      </c>
    </row>
    <row r="112" spans="1:4">
      <c r="A112">
        <v>111</v>
      </c>
      <c r="B112" t="s">
        <v>226</v>
      </c>
      <c r="C112" t="s">
        <v>227</v>
      </c>
      <c r="D112" t="str">
        <f>HYPERLINK("https://www.procyclingstats.com/search.php?term=Lotti+Zeno","Cerca")</f>
        <v>Cerca</v>
      </c>
    </row>
    <row r="113" spans="1:4">
      <c r="A113">
        <v>112</v>
      </c>
      <c r="B113" t="s">
        <v>228</v>
      </c>
      <c r="C113" t="s">
        <v>229</v>
      </c>
      <c r="D113" t="str">
        <f>HYPERLINK("https://www.procyclingstats.com/search.php?term=Luzzi+Gabriele","Cerca")</f>
        <v>Cerca</v>
      </c>
    </row>
    <row r="114" spans="1:4">
      <c r="A114">
        <v>113</v>
      </c>
      <c r="B114" t="s">
        <v>230</v>
      </c>
      <c r="C114" t="s">
        <v>231</v>
      </c>
      <c r="D114" t="str">
        <f>HYPERLINK("https://www.procyclingstats.com/search.php?term=MANCA+SAMUELE","Cerca")</f>
        <v>Cerca</v>
      </c>
    </row>
    <row r="115" spans="1:4">
      <c r="A115">
        <v>114</v>
      </c>
      <c r="B115" t="s">
        <v>232</v>
      </c>
      <c r="C115" t="s">
        <v>233</v>
      </c>
      <c r="D115" t="str">
        <f>HYPERLINK("https://www.procyclingstats.com/search.php?term=MANNU+FRANCESCO","Cerca")</f>
        <v>Cerca</v>
      </c>
    </row>
    <row r="116" spans="1:4">
      <c r="A116">
        <v>115</v>
      </c>
      <c r="B116" t="s">
        <v>234</v>
      </c>
      <c r="C116" t="s">
        <v>235</v>
      </c>
      <c r="D116" t="str">
        <f>HYPERLINK("https://www.procyclingstats.com/search.php?term=MANTOVANI+GIULIO","Cerca")</f>
        <v>Cerca</v>
      </c>
    </row>
    <row r="117" spans="1:4">
      <c r="A117">
        <v>116</v>
      </c>
      <c r="B117" t="s">
        <v>236</v>
      </c>
      <c r="C117" t="s">
        <v>237</v>
      </c>
      <c r="D117" t="str">
        <f>HYPERLINK("https://www.procyclingstats.com/search.php?term=MARCHIONE+GIACOMO","Cerca")</f>
        <v>Cerca</v>
      </c>
    </row>
    <row r="118" spans="1:4">
      <c r="A118">
        <v>117</v>
      </c>
      <c r="B118" t="s">
        <v>238</v>
      </c>
      <c r="C118" t="s">
        <v>239</v>
      </c>
      <c r="D118" t="str">
        <f>HYPERLINK("https://www.procyclingstats.com/search.php?term=MARETTA+GABRIELE","Cerca")</f>
        <v>Cerca</v>
      </c>
    </row>
    <row r="119" spans="1:4">
      <c r="A119">
        <v>118</v>
      </c>
      <c r="B119" t="s">
        <v>240</v>
      </c>
      <c r="C119" t="s">
        <v>241</v>
      </c>
      <c r="D119" t="str">
        <f>HYPERLINK("https://www.procyclingstats.com/search.php?term=MATYASIK+MAKSYMILIAN","Cerca")</f>
        <v>Cerca</v>
      </c>
    </row>
    <row r="120" spans="1:4">
      <c r="A120">
        <v>119</v>
      </c>
      <c r="B120" t="s">
        <v>242</v>
      </c>
      <c r="C120" t="s">
        <v>243</v>
      </c>
      <c r="D120" t="str">
        <f>HYPERLINK("https://www.procyclingstats.com/search.php?term=MAZZOLENI+LUCA","Cerca")</f>
        <v>Cerca</v>
      </c>
    </row>
    <row r="121" spans="1:4">
      <c r="A121">
        <v>120</v>
      </c>
      <c r="B121" t="s">
        <v>244</v>
      </c>
      <c r="C121" t="s">
        <v>245</v>
      </c>
      <c r="D121" t="str">
        <f>HYPERLINK("https://www.procyclingstats.com/search.php?term=MILAKI+ARGYRO","Cerca")</f>
        <v>Cerca</v>
      </c>
    </row>
    <row r="122" spans="1:4">
      <c r="A122">
        <v>121</v>
      </c>
      <c r="B122" t="s">
        <v>246</v>
      </c>
      <c r="C122" t="s">
        <v>247</v>
      </c>
      <c r="D122" t="str">
        <f>HYPERLINK("https://www.procyclingstats.com/search.php?term=MILANI+LORENZO","Cerca")</f>
        <v>Cerca</v>
      </c>
    </row>
    <row r="123" spans="1:4">
      <c r="A123">
        <v>122</v>
      </c>
      <c r="B123" t="s">
        <v>248</v>
      </c>
      <c r="C123" t="s">
        <v>249</v>
      </c>
      <c r="D123" t="str">
        <f>HYPERLINK("https://www.procyclingstats.com/search.php?term=MISHANKOV+MAKSIM","Cerca")</f>
        <v>Cerca</v>
      </c>
    </row>
    <row r="124" spans="1:4">
      <c r="A124">
        <v>123</v>
      </c>
      <c r="B124" t="s">
        <v>250</v>
      </c>
      <c r="C124" t="s">
        <v>251</v>
      </c>
      <c r="D124" t="str">
        <f>HYPERLINK("https://www.procyclingstats.com/search.php?term=MOCCI+EDOARDO","Cerca")</f>
        <v>Cerca</v>
      </c>
    </row>
    <row r="125" spans="1:4">
      <c r="A125">
        <v>124</v>
      </c>
      <c r="B125" t="s">
        <v>252</v>
      </c>
      <c r="C125" t="s">
        <v>253</v>
      </c>
      <c r="D125" t="str">
        <f>HYPERLINK("https://www.procyclingstats.com/search.php?term=MOLLO+GIANMARIA","Cerca")</f>
        <v>Cerca</v>
      </c>
    </row>
    <row r="126" spans="1:4">
      <c r="A126">
        <v>125</v>
      </c>
      <c r="B126" t="s">
        <v>254</v>
      </c>
      <c r="C126" t="s">
        <v>255</v>
      </c>
      <c r="D126" t="str">
        <f>HYPERLINK("https://www.procyclingstats.com/search.php?term=MORENO+GARCIA+DANIEL+SANTIAGO","Cerca")</f>
        <v>Cerca</v>
      </c>
    </row>
    <row r="127" spans="1:4">
      <c r="A127">
        <v>126</v>
      </c>
      <c r="B127" t="s">
        <v>256</v>
      </c>
      <c r="C127" t="s">
        <v>257</v>
      </c>
      <c r="D127" t="str">
        <f>HYPERLINK("https://www.procyclingstats.com/search.php?term=MURA+ANDREA","Cerca")</f>
        <v>Cerca</v>
      </c>
    </row>
    <row r="128" spans="1:4">
      <c r="A128">
        <v>127</v>
      </c>
      <c r="B128" t="s">
        <v>258</v>
      </c>
      <c r="C128" t="s">
        <v>259</v>
      </c>
      <c r="D128" t="str">
        <f>HYPERLINK("https://www.procyclingstats.com/search.php?term=Magni+Daniele","Cerca")</f>
        <v>Cerca</v>
      </c>
    </row>
    <row r="129" spans="1:4">
      <c r="A129">
        <v>128</v>
      </c>
      <c r="B129" t="s">
        <v>260</v>
      </c>
      <c r="C129" t="s">
        <v>261</v>
      </c>
      <c r="D129" t="str">
        <f>HYPERLINK("https://www.procyclingstats.com/search.php?term=Maranchón+Enrique","Cerca")</f>
        <v>Cerca</v>
      </c>
    </row>
    <row r="130" spans="1:4">
      <c r="A130">
        <v>129</v>
      </c>
      <c r="B130" t="s">
        <v>262</v>
      </c>
      <c r="C130" t="s">
        <v>263</v>
      </c>
      <c r="D130" t="str">
        <f>HYPERLINK("https://www.procyclingstats.com/search.php?term=Marchina+Leonardo","Cerca")</f>
        <v>Cerca</v>
      </c>
    </row>
    <row r="131" spans="1:4">
      <c r="A131">
        <v>130</v>
      </c>
      <c r="B131" t="s">
        <v>264</v>
      </c>
      <c r="C131" t="s">
        <v>265</v>
      </c>
      <c r="D131" t="str">
        <f>HYPERLINK("https://www.procyclingstats.com/search.php?term=Martini+Nicola","Cerca")</f>
        <v>Cerca</v>
      </c>
    </row>
    <row r="132" spans="1:4">
      <c r="A132">
        <v>131</v>
      </c>
      <c r="B132" t="s">
        <v>266</v>
      </c>
      <c r="C132" t="s">
        <v>267</v>
      </c>
      <c r="D132" t="str">
        <f>HYPERLINK("https://www.procyclingstats.com/search.php?term=Martín+Sara","Cerca")</f>
        <v>Cerca</v>
      </c>
    </row>
    <row r="133" spans="1:4">
      <c r="A133">
        <v>132</v>
      </c>
      <c r="B133" t="s">
        <v>268</v>
      </c>
      <c r="C133" t="s">
        <v>269</v>
      </c>
      <c r="D133" t="str">
        <f>HYPERLINK("https://www.procyclingstats.com/search.php?term=Martínez+Aitor","Cerca")</f>
        <v>Cerca</v>
      </c>
    </row>
    <row r="134" spans="1:4">
      <c r="A134">
        <v>133</v>
      </c>
      <c r="B134" t="s">
        <v>270</v>
      </c>
      <c r="C134" t="s">
        <v>271</v>
      </c>
      <c r="D134" t="str">
        <f>HYPERLINK("https://www.procyclingstats.com/search.php?term=Micali+Matteo","Cerca")</f>
        <v>Cerca</v>
      </c>
    </row>
    <row r="135" spans="1:4">
      <c r="A135">
        <v>134</v>
      </c>
      <c r="B135" t="s">
        <v>272</v>
      </c>
      <c r="C135" t="s">
        <v>273</v>
      </c>
      <c r="D135" t="str">
        <f>HYPERLINK("https://www.procyclingstats.com/search.php?term=Moolman-Pasio+Ashleigh","Cerca")</f>
        <v>Cerca</v>
      </c>
    </row>
    <row r="136" spans="1:4">
      <c r="A136">
        <v>135</v>
      </c>
      <c r="B136" t="s">
        <v>274</v>
      </c>
      <c r="C136" t="s">
        <v>275</v>
      </c>
      <c r="D136" t="str">
        <f>HYPERLINK("https://www.procyclingstats.com/search.php?term=Moretti+Samuel","Cerca")</f>
        <v>Cerca</v>
      </c>
    </row>
    <row r="137" spans="1:4">
      <c r="A137">
        <v>136</v>
      </c>
      <c r="B137" t="s">
        <v>276</v>
      </c>
      <c r="C137" t="s">
        <v>277</v>
      </c>
      <c r="D137" t="str">
        <f>HYPERLINK("https://www.procyclingstats.com/search.php?term=Muricci+Leonardo","Cerca")</f>
        <v>Cerca</v>
      </c>
    </row>
    <row r="138" spans="1:4">
      <c r="A138">
        <v>137</v>
      </c>
      <c r="B138" t="s">
        <v>278</v>
      </c>
      <c r="C138" t="s">
        <v>279</v>
      </c>
      <c r="D138" t="str">
        <f>HYPERLINK("https://www.procyclingstats.com/search.php?term=NOVAL+SUAREZ+BENJAMIN","Cerca")</f>
        <v>Cerca</v>
      </c>
    </row>
    <row r="139" spans="1:4">
      <c r="A139">
        <v>138</v>
      </c>
      <c r="B139" t="s">
        <v>280</v>
      </c>
      <c r="C139" t="s">
        <v>281</v>
      </c>
      <c r="D139" t="str">
        <f>HYPERLINK("https://www.procyclingstats.com/search.php?term=Noyola+Marcela","Cerca")</f>
        <v>Cerca</v>
      </c>
    </row>
    <row r="140" spans="1:4">
      <c r="A140">
        <v>139</v>
      </c>
      <c r="B140" t="s">
        <v>282</v>
      </c>
      <c r="C140" t="s">
        <v>283</v>
      </c>
      <c r="D140" t="str">
        <f>HYPERLINK("https://www.procyclingstats.com/search.php?term=ORHOLM-LONSETH+SIND","Cerca")</f>
        <v>Cerca</v>
      </c>
    </row>
    <row r="141" spans="1:4">
      <c r="A141">
        <v>140</v>
      </c>
      <c r="B141" t="s">
        <v>284</v>
      </c>
      <c r="C141" t="s">
        <v>285</v>
      </c>
      <c r="D141" t="str">
        <f>HYPERLINK("https://www.procyclingstats.com/search.php?term=Odriozola+Naxara","Cerca")</f>
        <v>Cerca</v>
      </c>
    </row>
    <row r="142" spans="1:4">
      <c r="A142">
        <v>141</v>
      </c>
      <c r="B142" t="s">
        <v>286</v>
      </c>
      <c r="C142" t="s">
        <v>287</v>
      </c>
      <c r="D142" t="str">
        <f>HYPERLINK("https://www.procyclingstats.com/search.php?term=Orholm-Lønseth+Sindre","Cerca")</f>
        <v>Cerca</v>
      </c>
    </row>
    <row r="143" spans="1:4">
      <c r="A143">
        <v>142</v>
      </c>
      <c r="B143" t="s">
        <v>288</v>
      </c>
      <c r="C143" t="s">
        <v>289</v>
      </c>
      <c r="D143" t="str">
        <f>HYPERLINK("https://www.procyclingstats.com/search.php?term=Orlandi+Giacomo","Cerca")</f>
        <v>Cerca</v>
      </c>
    </row>
    <row r="144" spans="1:4">
      <c r="A144">
        <v>143</v>
      </c>
      <c r="B144" t="s">
        <v>290</v>
      </c>
      <c r="C144" t="s">
        <v>291</v>
      </c>
      <c r="D144" t="str">
        <f>HYPERLINK("https://www.procyclingstats.com/search.php?term=Orsi+Riccardo","Cerca")</f>
        <v>Cerca</v>
      </c>
    </row>
    <row r="145" spans="1:4">
      <c r="A145">
        <v>144</v>
      </c>
      <c r="B145" t="s">
        <v>292</v>
      </c>
      <c r="C145" t="s">
        <v>293</v>
      </c>
      <c r="D145" t="str">
        <f>HYPERLINK("https://www.procyclingstats.com/search.php?term=PAVI+DEGL'INNOCENTI+GIULIO","Cerca")</f>
        <v>Cerca</v>
      </c>
    </row>
    <row r="146" spans="1:4">
      <c r="A146">
        <v>145</v>
      </c>
      <c r="B146" t="s">
        <v>294</v>
      </c>
      <c r="C146" t="s">
        <v>295</v>
      </c>
      <c r="D146" t="str">
        <f>HYPERLINK("https://www.procyclingstats.com/search.php?term=PENALVER+ANIORTE+MANUEL","Cerca")</f>
        <v>Cerca</v>
      </c>
    </row>
    <row r="147" spans="1:4">
      <c r="A147">
        <v>146</v>
      </c>
      <c r="B147" t="s">
        <v>296</v>
      </c>
      <c r="C147" t="s">
        <v>297</v>
      </c>
      <c r="D147" t="str">
        <f>HYPERLINK("https://www.procyclingstats.com/search.php?term=PENEDA+SOTO+NATALIA","Cerca")</f>
        <v>Cerca</v>
      </c>
    </row>
    <row r="148" spans="1:4">
      <c r="A148">
        <v>147</v>
      </c>
      <c r="B148" t="s">
        <v>298</v>
      </c>
      <c r="C148" t="s">
        <v>299</v>
      </c>
      <c r="D148" t="str">
        <f>HYPERLINK("https://www.procyclingstats.com/search.php?term=PINEDA+SOTO+NATALIA","Cerca")</f>
        <v>Cerca</v>
      </c>
    </row>
    <row r="149" spans="1:4">
      <c r="A149">
        <v>148</v>
      </c>
      <c r="B149" t="s">
        <v>300</v>
      </c>
      <c r="C149" t="s">
        <v>301</v>
      </c>
      <c r="D149" t="str">
        <f>HYPERLINK("https://www.procyclingstats.com/search.php?term=PINNA+ROBERTO","Cerca")</f>
        <v>Cerca</v>
      </c>
    </row>
    <row r="150" spans="1:4">
      <c r="A150">
        <v>149</v>
      </c>
      <c r="B150" t="s">
        <v>302</v>
      </c>
      <c r="C150" t="s">
        <v>303</v>
      </c>
      <c r="D150" t="str">
        <f>HYPERLINK("https://www.procyclingstats.com/search.php?term=PITTA+JACOPO","Cerca")</f>
        <v>Cerca</v>
      </c>
    </row>
    <row r="151" spans="1:4">
      <c r="A151">
        <v>150</v>
      </c>
      <c r="B151" t="s">
        <v>304</v>
      </c>
      <c r="C151" t="s">
        <v>305</v>
      </c>
      <c r="D151" t="str">
        <f>HYPERLINK("https://www.procyclingstats.com/search.php?term=POLIUSHKO+OLEKSANDER","Cerca")</f>
        <v>Cerca</v>
      </c>
    </row>
    <row r="152" spans="1:4">
      <c r="A152">
        <v>151</v>
      </c>
      <c r="B152" t="s">
        <v>306</v>
      </c>
      <c r="C152" t="s">
        <v>307</v>
      </c>
      <c r="D152" t="str">
        <f>HYPERLINK("https://www.procyclingstats.com/search.php?term=PROSANDEEV+IAROSLAV","Cerca")</f>
        <v>Cerca</v>
      </c>
    </row>
    <row r="153" spans="1:4">
      <c r="A153">
        <v>152</v>
      </c>
      <c r="B153" t="s">
        <v>308</v>
      </c>
      <c r="C153" t="s">
        <v>309</v>
      </c>
      <c r="D153" t="str">
        <f>HYPERLINK("https://www.procyclingstats.com/search.php?term=Paredes+Manuel+Sebastian","Cerca")</f>
        <v>Cerca</v>
      </c>
    </row>
    <row r="154" spans="1:4">
      <c r="A154">
        <v>153</v>
      </c>
      <c r="B154" t="s">
        <v>310</v>
      </c>
      <c r="C154" t="s">
        <v>311</v>
      </c>
      <c r="D154" t="str">
        <f>HYPERLINK("https://www.procyclingstats.com/search.php?term=Piccin+Alessandro","Cerca")</f>
        <v>Cerca</v>
      </c>
    </row>
    <row r="155" spans="1:4">
      <c r="A155">
        <v>154</v>
      </c>
      <c r="B155" t="s">
        <v>312</v>
      </c>
      <c r="C155" t="s">
        <v>313</v>
      </c>
      <c r="D155" t="str">
        <f>HYPERLINK("https://www.procyclingstats.com/search.php?term=Puigdefábregas+Laia","Cerca")</f>
        <v>Cerca</v>
      </c>
    </row>
    <row r="156" spans="1:4">
      <c r="A156">
        <v>155</v>
      </c>
      <c r="B156" t="s">
        <v>314</v>
      </c>
      <c r="C156" t="s">
        <v>315</v>
      </c>
      <c r="D156" t="str">
        <f>HYPERLINK("https://www.procyclingstats.com/search.php?term=Pérez+Ciro","Cerca")</f>
        <v>Cerca</v>
      </c>
    </row>
    <row r="157" spans="1:4">
      <c r="A157">
        <v>156</v>
      </c>
      <c r="B157" t="s">
        <v>316</v>
      </c>
      <c r="C157" t="s">
        <v>317</v>
      </c>
      <c r="D157" t="str">
        <f>HYPERLINK("https://www.procyclingstats.com/search.php?term=Płosaj+Nikol","Cerca")</f>
        <v>Cerca</v>
      </c>
    </row>
    <row r="158" spans="1:4">
      <c r="A158">
        <v>157</v>
      </c>
      <c r="B158" t="s">
        <v>318</v>
      </c>
      <c r="C158" t="s">
        <v>319</v>
      </c>
      <c r="D158" t="str">
        <f>HYPERLINK("https://www.procyclingstats.com/search.php?term=Quilico+Gabriele","Cerca")</f>
        <v>Cerca</v>
      </c>
    </row>
    <row r="159" spans="1:4">
      <c r="A159">
        <v>158</v>
      </c>
      <c r="B159" t="s">
        <v>320</v>
      </c>
      <c r="C159" t="s">
        <v>321</v>
      </c>
      <c r="D159" t="str">
        <f>HYPERLINK("https://www.procyclingstats.com/search.php?term=RANDAZZO+VITO","Cerca")</f>
        <v>Cerca</v>
      </c>
    </row>
    <row r="160" spans="1:4">
      <c r="A160">
        <v>159</v>
      </c>
      <c r="B160" t="s">
        <v>322</v>
      </c>
      <c r="C160" t="s">
        <v>323</v>
      </c>
      <c r="D160" t="str">
        <f>HYPERLINK("https://www.procyclingstats.com/search.php?term=RANIERI+MATTEO","Cerca")</f>
        <v>Cerca</v>
      </c>
    </row>
    <row r="161" spans="1:4">
      <c r="A161">
        <v>160</v>
      </c>
      <c r="B161" t="s">
        <v>324</v>
      </c>
      <c r="C161" t="s">
        <v>325</v>
      </c>
      <c r="D161" t="str">
        <f>HYPERLINK("https://www.procyclingstats.com/search.php?term=RESTREPO+LOAIZA+OSCAR+IVAN","Cerca")</f>
        <v>Cerca</v>
      </c>
    </row>
    <row r="162" spans="1:4">
      <c r="A162">
        <v>161</v>
      </c>
      <c r="B162" t="s">
        <v>326</v>
      </c>
      <c r="C162" t="s">
        <v>327</v>
      </c>
      <c r="D162" t="str">
        <f>HYPERLINK("https://www.procyclingstats.com/search.php?term=RICCADONA+EDOARDO","Cerca")</f>
        <v>Cerca</v>
      </c>
    </row>
    <row r="163" spans="1:4">
      <c r="A163">
        <v>162</v>
      </c>
      <c r="B163" t="s">
        <v>328</v>
      </c>
      <c r="C163" t="s">
        <v>329</v>
      </c>
      <c r="D163" t="str">
        <f>HYPERLINK("https://www.procyclingstats.com/search.php?term=ROCCELLA+MARCO","Cerca")</f>
        <v>Cerca</v>
      </c>
    </row>
    <row r="164" spans="1:4">
      <c r="A164">
        <v>163</v>
      </c>
      <c r="B164" t="s">
        <v>330</v>
      </c>
      <c r="C164" t="s">
        <v>331</v>
      </c>
      <c r="D164" t="str">
        <f>HYPERLINK("https://www.procyclingstats.com/search.php?term=RODRIGUEZ+DELGADO+JOSE+EMILIO","Cerca")</f>
        <v>Cerca</v>
      </c>
    </row>
    <row r="165" spans="1:4">
      <c r="A165">
        <v>164</v>
      </c>
      <c r="B165" t="s">
        <v>332</v>
      </c>
      <c r="C165" t="s">
        <v>333</v>
      </c>
      <c r="D165" t="str">
        <f>HYPERLINK("https://www.procyclingstats.com/search.php?term=ROJAS+NARANJO+VICENTE+RODRIGO+ANTONIO","Cerca")</f>
        <v>Cerca</v>
      </c>
    </row>
    <row r="166" spans="1:4">
      <c r="A166">
        <v>165</v>
      </c>
      <c r="B166" t="s">
        <v>334</v>
      </c>
      <c r="C166" t="s">
        <v>335</v>
      </c>
      <c r="D166" t="str">
        <f>HYPERLINK("https://www.procyclingstats.com/search.php?term=ROSSI+MATTIA","Cerca")</f>
        <v>Cerca</v>
      </c>
    </row>
    <row r="167" spans="1:4">
      <c r="A167">
        <v>166</v>
      </c>
      <c r="B167" t="s">
        <v>336</v>
      </c>
      <c r="C167" t="s">
        <v>337</v>
      </c>
      <c r="D167" t="str">
        <f>HYPERLINK("https://www.procyclingstats.com/search.php?term=Ramírez+Mateo","Cerca")</f>
        <v>Cerca</v>
      </c>
    </row>
    <row r="168" spans="1:4">
      <c r="A168">
        <v>167</v>
      </c>
      <c r="B168" t="s">
        <v>338</v>
      </c>
      <c r="C168" t="s">
        <v>339</v>
      </c>
      <c r="D168" t="str">
        <f>HYPERLINK("https://www.procyclingstats.com/search.php?term=Rayfer+Ilay","Cerca")</f>
        <v>Cerca</v>
      </c>
    </row>
    <row r="169" spans="1:4">
      <c r="A169">
        <v>168</v>
      </c>
      <c r="B169" t="s">
        <v>340</v>
      </c>
      <c r="C169" t="s">
        <v>341</v>
      </c>
      <c r="D169" t="str">
        <f>HYPERLINK("https://www.procyclingstats.com/search.php?term=Reichmuth+Kyra","Cerca")</f>
        <v>Cerca</v>
      </c>
    </row>
    <row r="170" spans="1:4">
      <c r="A170">
        <v>169</v>
      </c>
      <c r="B170" t="s">
        <v>342</v>
      </c>
      <c r="C170" t="s">
        <v>343</v>
      </c>
      <c r="D170" t="str">
        <f>HYPERLINK("https://www.procyclingstats.com/search.php?term=Ricci+Federico","Cerca")</f>
        <v>Cerca</v>
      </c>
    </row>
    <row r="171" spans="1:4">
      <c r="A171">
        <v>170</v>
      </c>
      <c r="B171" t="s">
        <v>344</v>
      </c>
      <c r="C171" t="s">
        <v>345</v>
      </c>
      <c r="D171" t="str">
        <f>HYPERLINK("https://www.procyclingstats.com/search.php?term=Rodriguez+Diego","Cerca")</f>
        <v>Cerca</v>
      </c>
    </row>
    <row r="172" spans="1:4">
      <c r="A172">
        <v>171</v>
      </c>
      <c r="B172" t="s">
        <v>346</v>
      </c>
      <c r="C172" t="s">
        <v>347</v>
      </c>
      <c r="D172" t="str">
        <f>HYPERLINK("https://www.procyclingstats.com/search.php?term=Rodríguez+Laura","Cerca")</f>
        <v>Cerca</v>
      </c>
    </row>
    <row r="173" spans="1:4">
      <c r="A173">
        <v>172</v>
      </c>
      <c r="B173" t="s">
        <v>348</v>
      </c>
      <c r="C173" t="s">
        <v>349</v>
      </c>
      <c r="D173" t="str">
        <f>HYPERLINK("https://www.procyclingstats.com/search.php?term=Ruffin+Riccardo","Cerca")</f>
        <v>Cerca</v>
      </c>
    </row>
    <row r="174" spans="1:4">
      <c r="A174">
        <v>173</v>
      </c>
      <c r="B174" t="s">
        <v>350</v>
      </c>
      <c r="C174" t="s">
        <v>351</v>
      </c>
      <c r="D174" t="str">
        <f>HYPERLINK("https://www.procyclingstats.com/search.php?term=SAINT+MARTIN+PIERRE","Cerca")</f>
        <v>Cerca</v>
      </c>
    </row>
    <row r="175" spans="1:4">
      <c r="A175">
        <v>174</v>
      </c>
      <c r="B175" t="s">
        <v>352</v>
      </c>
      <c r="C175" t="s">
        <v>353</v>
      </c>
      <c r="D175" t="str">
        <f>HYPERLINK("https://www.procyclingstats.com/search.php?term=SANTAMARIA+RICCARDO","Cerca")</f>
        <v>Cerca</v>
      </c>
    </row>
    <row r="176" spans="1:4">
      <c r="A176">
        <v>175</v>
      </c>
      <c r="B176" t="s">
        <v>354</v>
      </c>
      <c r="C176" t="s">
        <v>355</v>
      </c>
      <c r="D176" t="str">
        <f>HYPERLINK("https://www.procyclingstats.com/search.php?term=SANTIAGO+GARCIA+RICARDO","Cerca")</f>
        <v>Cerca</v>
      </c>
    </row>
    <row r="177" spans="1:4">
      <c r="A177">
        <v>176</v>
      </c>
      <c r="B177" t="s">
        <v>356</v>
      </c>
      <c r="C177" t="s">
        <v>357</v>
      </c>
      <c r="D177" t="str">
        <f>HYPERLINK("https://www.procyclingstats.com/search.php?term=SAVEKIN+ILIA","Cerca")</f>
        <v>Cerca</v>
      </c>
    </row>
    <row r="178" spans="1:4">
      <c r="A178">
        <v>177</v>
      </c>
      <c r="B178" t="s">
        <v>358</v>
      </c>
      <c r="C178" t="s">
        <v>359</v>
      </c>
      <c r="D178" t="str">
        <f>HYPERLINK("https://www.procyclingstats.com/search.php?term=SCHEMBARI+FLAVIO","Cerca")</f>
        <v>Cerca</v>
      </c>
    </row>
    <row r="179" spans="1:4">
      <c r="A179">
        <v>178</v>
      </c>
      <c r="B179" t="s">
        <v>360</v>
      </c>
      <c r="C179" t="s">
        <v>361</v>
      </c>
      <c r="D179" t="str">
        <f>HYPERLINK("https://www.procyclingstats.com/search.php?term=SCHNYDER+NOAH","Cerca")</f>
        <v>Cerca</v>
      </c>
    </row>
    <row r="180" spans="1:4">
      <c r="A180">
        <v>179</v>
      </c>
      <c r="B180" t="s">
        <v>362</v>
      </c>
      <c r="C180" t="s">
        <v>363</v>
      </c>
      <c r="D180" t="str">
        <f>HYPERLINK("https://www.procyclingstats.com/search.php?term=SCOTT+BOURIS+AMOS","Cerca")</f>
        <v>Cerca</v>
      </c>
    </row>
    <row r="181" spans="1:4">
      <c r="A181">
        <v>180</v>
      </c>
      <c r="B181" t="s">
        <v>364</v>
      </c>
      <c r="C181" t="s">
        <v>365</v>
      </c>
      <c r="D181" t="str">
        <f>HYPERLINK("https://www.procyclingstats.com/search.php?term=SECHI+MARCO","Cerca")</f>
        <v>Cerca</v>
      </c>
    </row>
    <row r="182" spans="1:4">
      <c r="A182">
        <v>181</v>
      </c>
      <c r="B182" t="s">
        <v>366</v>
      </c>
      <c r="C182" t="s">
        <v>367</v>
      </c>
      <c r="D182" t="str">
        <f>HYPERLINK("https://www.procyclingstats.com/search.php?term=SHANNON+HARRISON","Cerca")</f>
        <v>Cerca</v>
      </c>
    </row>
    <row r="183" spans="1:4">
      <c r="A183">
        <v>182</v>
      </c>
      <c r="B183" t="s">
        <v>368</v>
      </c>
      <c r="C183" t="s">
        <v>369</v>
      </c>
      <c r="D183" t="str">
        <f>HYPERLINK("https://www.procyclingstats.com/search.php?term=SOLLA+LEONARDO","Cerca")</f>
        <v>Cerca</v>
      </c>
    </row>
    <row r="184" spans="1:4">
      <c r="A184">
        <v>183</v>
      </c>
      <c r="B184" t="s">
        <v>370</v>
      </c>
      <c r="C184" t="s">
        <v>371</v>
      </c>
      <c r="D184" t="str">
        <f>HYPERLINK("https://www.procyclingstats.com/search.php?term=SOTO+CERVANTES+ALEJANDRO","Cerca")</f>
        <v>Cerca</v>
      </c>
    </row>
    <row r="185" spans="1:4">
      <c r="A185">
        <v>184</v>
      </c>
      <c r="B185" t="s">
        <v>372</v>
      </c>
      <c r="C185" t="s">
        <v>373</v>
      </c>
      <c r="D185" t="str">
        <f>HYPERLINK("https://www.procyclingstats.com/search.php?term=STELLA+ANTONIO+TANCREDI","Cerca")</f>
        <v>Cerca</v>
      </c>
    </row>
    <row r="186" spans="1:4">
      <c r="A186">
        <v>185</v>
      </c>
      <c r="B186" t="s">
        <v>374</v>
      </c>
      <c r="C186" t="s">
        <v>375</v>
      </c>
      <c r="D186" t="str">
        <f>HYPERLINK("https://www.procyclingstats.com/search.php?term=SUPI+SEBASTIAN","Cerca")</f>
        <v>Cerca</v>
      </c>
    </row>
    <row r="187" spans="1:4">
      <c r="A187">
        <v>186</v>
      </c>
      <c r="B187" t="s">
        <v>376</v>
      </c>
      <c r="C187" t="s">
        <v>377</v>
      </c>
      <c r="D187" t="str">
        <f>HYPERLINK("https://www.procyclingstats.com/search.php?term=Saguatti+Fabian","Cerca")</f>
        <v>Cerca</v>
      </c>
    </row>
    <row r="188" spans="1:4">
      <c r="A188">
        <v>187</v>
      </c>
      <c r="B188" t="s">
        <v>378</v>
      </c>
      <c r="C188" t="s">
        <v>379</v>
      </c>
      <c r="D188" t="str">
        <f>HYPERLINK("https://www.procyclingstats.com/search.php?term=Støvern+Ida+Østbye","Cerca")</f>
        <v>Cerca</v>
      </c>
    </row>
    <row r="189" spans="1:4">
      <c r="A189">
        <v>188</v>
      </c>
      <c r="B189" t="s">
        <v>380</v>
      </c>
      <c r="C189" t="s">
        <v>381</v>
      </c>
      <c r="D189" t="str">
        <f>HYPERLINK("https://www.procyclingstats.com/search.php?term=Słomka+Kinga","Cerca")</f>
        <v>Cerca</v>
      </c>
    </row>
    <row r="190" spans="1:4">
      <c r="A190">
        <v>189</v>
      </c>
      <c r="B190" t="s">
        <v>382</v>
      </c>
      <c r="C190" t="s">
        <v>383</v>
      </c>
      <c r="D190" t="str">
        <f>HYPERLINK("https://www.procyclingstats.com/search.php?term=TERCERO+LOPEZ+FERNANDO","Cerca")</f>
        <v>Cerca</v>
      </c>
    </row>
    <row r="191" spans="1:4">
      <c r="A191">
        <v>190</v>
      </c>
      <c r="B191" t="s">
        <v>384</v>
      </c>
      <c r="C191" t="s">
        <v>385</v>
      </c>
      <c r="D191" t="str">
        <f>HYPERLINK("https://www.procyclingstats.com/search.php?term=Tercero+Fernando","Cerca")</f>
        <v>Cerca</v>
      </c>
    </row>
    <row r="192" spans="1:4">
      <c r="A192">
        <v>191</v>
      </c>
      <c r="B192" t="s">
        <v>386</v>
      </c>
      <c r="C192" t="s">
        <v>387</v>
      </c>
      <c r="D192" t="str">
        <f>HYPERLINK("https://www.procyclingstats.com/search.php?term=Tobul+Yair","Cerca")</f>
        <v>Cerca</v>
      </c>
    </row>
    <row r="193" spans="1:4">
      <c r="A193">
        <v>192</v>
      </c>
      <c r="B193" t="s">
        <v>388</v>
      </c>
      <c r="C193" t="s">
        <v>389</v>
      </c>
      <c r="D193" t="str">
        <f>HYPERLINK("https://www.procyclingstats.com/search.php?term=Trisconi+Elia","Cerca")</f>
        <v>Cerca</v>
      </c>
    </row>
    <row r="194" spans="1:4">
      <c r="A194">
        <v>193</v>
      </c>
      <c r="B194" t="s">
        <v>390</v>
      </c>
      <c r="C194" t="s">
        <v>391</v>
      </c>
      <c r="D194" t="str">
        <f>HYPERLINK("https://www.procyclingstats.com/search.php?term=Utengen+Sandstad+Halvor","Cerca")</f>
        <v>Cerca</v>
      </c>
    </row>
    <row r="195" spans="1:4">
      <c r="A195">
        <v>194</v>
      </c>
      <c r="B195" t="s">
        <v>392</v>
      </c>
      <c r="C195" t="s">
        <v>393</v>
      </c>
      <c r="D195" t="str">
        <f>HYPERLINK("https://www.procyclingstats.com/search.php?term=VAL'O+ROMAN","Cerca")</f>
        <v>Cerca</v>
      </c>
    </row>
    <row r="196" spans="1:4">
      <c r="A196">
        <v>195</v>
      </c>
      <c r="B196" t="s">
        <v>394</v>
      </c>
      <c r="C196" t="s">
        <v>395</v>
      </c>
      <c r="D196" t="str">
        <f>HYPERLINK("https://www.procyclingstats.com/search.php?term=VAN+ANROOIJ+SHIRIN","Cerca")</f>
        <v>Cerca</v>
      </c>
    </row>
    <row r="197" spans="1:4">
      <c r="A197">
        <v>196</v>
      </c>
      <c r="B197" t="s">
        <v>396</v>
      </c>
      <c r="C197" t="s">
        <v>397</v>
      </c>
      <c r="D197" t="str">
        <f>HYPERLINK("https://www.procyclingstats.com/search.php?term=VAN+DEN+BIGGELAAR","Cerca")</f>
        <v>Cerca</v>
      </c>
    </row>
    <row r="198" spans="1:4">
      <c r="A198">
        <v>197</v>
      </c>
      <c r="B198" t="s">
        <v>398</v>
      </c>
      <c r="C198" t="s">
        <v>399</v>
      </c>
      <c r="D198" t="str">
        <f>HYPERLINK("https://www.procyclingstats.com/search.php?term=VERONI+RICCARDO","Cerca")</f>
        <v>Cerca</v>
      </c>
    </row>
    <row r="199" spans="1:4">
      <c r="A199">
        <v>198</v>
      </c>
      <c r="B199" t="s">
        <v>400</v>
      </c>
      <c r="C199" t="s">
        <v>401</v>
      </c>
      <c r="D199" t="str">
        <f>HYPERLINK("https://www.procyclingstats.com/search.php?term=VESHNIAKOV+DANIIL","Cerca")</f>
        <v>Cerca</v>
      </c>
    </row>
    <row r="200" spans="1:4">
      <c r="A200">
        <v>199</v>
      </c>
      <c r="B200" t="s">
        <v>402</v>
      </c>
      <c r="C200" t="s">
        <v>403</v>
      </c>
      <c r="D200" t="str">
        <f>HYPERLINK("https://www.procyclingstats.com/search.php?term=VILLA+MATTEO","Cerca")</f>
        <v>Cerca</v>
      </c>
    </row>
    <row r="201" spans="1:4">
      <c r="A201">
        <v>200</v>
      </c>
      <c r="B201" t="s">
        <v>404</v>
      </c>
      <c r="C201" t="s">
        <v>405</v>
      </c>
      <c r="D201" t="str">
        <f>HYPERLINK("https://www.procyclingstats.com/search.php?term=Van+De+Velde+Julie","Cerca")</f>
        <v>Cerca</v>
      </c>
    </row>
    <row r="202" spans="1:4">
      <c r="A202">
        <v>201</v>
      </c>
      <c r="B202" t="s">
        <v>406</v>
      </c>
      <c r="C202" t="s">
        <v>407</v>
      </c>
      <c r="D202" t="str">
        <f>HYPERLINK("https://www.procyclingstats.com/search.php?term=WIGGINS+MICHEAL+BEN","Cerca")</f>
        <v>Cerca</v>
      </c>
    </row>
    <row r="203" spans="1:4">
      <c r="A203">
        <v>202</v>
      </c>
      <c r="B203" t="s">
        <v>408</v>
      </c>
      <c r="C203" t="s">
        <v>409</v>
      </c>
      <c r="D203" t="str">
        <f>HYPERLINK("https://www.procyclingstats.com/search.php?term=WROLICH+SANTIAGO","Cerca")</f>
        <v>Cerca</v>
      </c>
    </row>
    <row r="204" spans="1:4">
      <c r="A204">
        <v>203</v>
      </c>
      <c r="B204" t="s">
        <v>410</v>
      </c>
      <c r="C204" t="s">
        <v>411</v>
      </c>
      <c r="D204" t="str">
        <f>HYPERLINK("https://www.procyclingstats.com/search.php?term=Wiesmayr+Niklas","Cerca")</f>
        <v>Cerca</v>
      </c>
    </row>
    <row r="205" spans="1:4">
      <c r="A205">
        <v>204</v>
      </c>
      <c r="B205" t="s">
        <v>412</v>
      </c>
      <c r="C205" t="s">
        <v>413</v>
      </c>
      <c r="D205" t="str">
        <f>HYPERLINK("https://www.procyclingstats.com/search.php?term=Włodarczyk+Dominika","Cerca")</f>
        <v>Cerca</v>
      </c>
    </row>
    <row r="206" spans="1:4">
      <c r="A206">
        <v>205</v>
      </c>
      <c r="B206" t="s">
        <v>414</v>
      </c>
      <c r="C206" t="s">
        <v>415</v>
      </c>
      <c r="D206" t="str">
        <f>HYPERLINK("https://www.procyclingstats.com/search.php?term=Włodarski+Marcin","Cerca")</f>
        <v>Cerca</v>
      </c>
    </row>
    <row r="207" spans="1:4">
      <c r="A207">
        <v>206</v>
      </c>
      <c r="B207" t="s">
        <v>416</v>
      </c>
      <c r="C207" t="s">
        <v>417</v>
      </c>
      <c r="D207" t="str">
        <f>HYPERLINK("https://www.procyclingstats.com/search.php?term=ZAMUDIO+GARCIA+MAYTE","Cerca")</f>
        <v>Cerca</v>
      </c>
    </row>
    <row r="208" spans="1:4">
      <c r="A208">
        <v>207</v>
      </c>
      <c r="B208" t="s">
        <v>418</v>
      </c>
      <c r="C208" t="s">
        <v>419</v>
      </c>
      <c r="D208" t="str">
        <f>HYPERLINK("https://www.procyclingstats.com/search.php?term=ZOZULIA+ANDRII","Cerca")</f>
        <v>Cerca</v>
      </c>
    </row>
    <row r="209" spans="1:4">
      <c r="A209">
        <v>208</v>
      </c>
      <c r="B209" t="s">
        <v>420</v>
      </c>
      <c r="C209" t="s">
        <v>421</v>
      </c>
      <c r="D209" t="str">
        <f>HYPERLINK("https://www.procyclingstats.com/search.php?term=Zamudio+Gianluigi","Cerca")</f>
        <v>Cerca</v>
      </c>
    </row>
    <row r="210" spans="1:4">
      <c r="A210">
        <v>209</v>
      </c>
      <c r="B210" t="s">
        <v>422</v>
      </c>
      <c r="C210" t="s">
        <v>423</v>
      </c>
      <c r="D210" t="str">
        <f>HYPERLINK("https://www.procyclingstats.com/search.php?term=Zandri+Francesco","Cerca")</f>
        <v>Cerca</v>
      </c>
    </row>
    <row r="211" spans="1:4">
      <c r="A211">
        <v>210</v>
      </c>
      <c r="B211" t="s">
        <v>424</v>
      </c>
      <c r="C211" t="s">
        <v>425</v>
      </c>
      <c r="D211" t="str">
        <f>HYPERLINK("https://www.procyclingstats.com/search.php?term=de+Jong+Loïs","Cerca")</f>
        <v>Cerca</v>
      </c>
    </row>
    <row r="212" spans="1:4">
      <c r="A212">
        <v>211</v>
      </c>
      <c r="B212" t="s">
        <v>426</v>
      </c>
      <c r="C212" t="s">
        <v>427</v>
      </c>
      <c r="D212" t="str">
        <f>HYPERLINK("https://www.procyclingstats.com/search.php?term=de+Jong+Thalita","Cerca")</f>
        <v>Cerca</v>
      </c>
    </row>
    <row r="213" spans="1:4">
      <c r="A213">
        <v>212</v>
      </c>
      <c r="B213" t="s">
        <v>428</v>
      </c>
      <c r="C213" t="s">
        <v>429</v>
      </c>
      <c r="D213" t="str">
        <f>HYPERLINK("https://www.procyclingstats.com/search.php?term=de+Marigny-Lagesse+Lucie","Cerca")</f>
        <v>Cerca</v>
      </c>
    </row>
    <row r="214" spans="1:4">
      <c r="A214">
        <v>213</v>
      </c>
      <c r="B214" t="s">
        <v>430</v>
      </c>
      <c r="C214" t="s">
        <v>431</v>
      </c>
      <c r="D214" t="str">
        <f>HYPERLINK("https://www.procyclingstats.com/search.php?term=de+Zoete+Mylène","Cerca")</f>
        <v>Cerca</v>
      </c>
    </row>
    <row r="215" spans="1:4">
      <c r="A215">
        <v>214</v>
      </c>
      <c r="B215" t="s">
        <v>432</v>
      </c>
      <c r="C215" t="s">
        <v>433</v>
      </c>
      <c r="D215" t="str">
        <f>HYPERLINK("https://www.procyclingstats.com/search.php?term=van+'t+Geloof+Marjolein","Cerca")</f>
        <v>Cerca</v>
      </c>
    </row>
    <row r="216" spans="1:4">
      <c r="A216">
        <v>215</v>
      </c>
      <c r="B216" t="s">
        <v>434</v>
      </c>
      <c r="C216" t="s">
        <v>435</v>
      </c>
      <c r="D216" t="str">
        <f>HYPERLINK("https://www.procyclingstats.com/search.php?term=van+Agt+Eva","Cerca")</f>
        <v>Cerca</v>
      </c>
    </row>
    <row r="217" spans="1:4">
      <c r="A217">
        <v>216</v>
      </c>
      <c r="B217" t="s">
        <v>436</v>
      </c>
      <c r="C217" t="s">
        <v>437</v>
      </c>
      <c r="D217" t="str">
        <f>HYPERLINK("https://www.procyclingstats.com/search.php?term=van+Rijswijk+Hannah","Cerca")</f>
        <v>Cerca</v>
      </c>
    </row>
    <row r="218" spans="1:4">
      <c r="A218">
        <v>217</v>
      </c>
      <c r="B218" t="s">
        <v>438</v>
      </c>
      <c r="C218" t="s">
        <v>439</v>
      </c>
      <c r="D218" t="str">
        <f>HYPERLINK("https://www.procyclingstats.com/search.php?term=van+Rooijen+Sofie","Cerca")</f>
        <v>Cerca</v>
      </c>
    </row>
    <row r="219" spans="1:4">
      <c r="A219">
        <v>218</v>
      </c>
      <c r="B219" t="s">
        <v>440</v>
      </c>
      <c r="C219" t="s">
        <v>441</v>
      </c>
      <c r="D219" t="str">
        <f>HYPERLINK("https://www.procyclingstats.com/search.php?term=van+der+Duin+Maike","Cerca")</f>
        <v>Cerca</v>
      </c>
    </row>
    <row r="220" spans="1:4">
      <c r="A220">
        <v>219</v>
      </c>
      <c r="B220" t="s">
        <v>442</v>
      </c>
      <c r="C220" t="s">
        <v>443</v>
      </c>
      <c r="D220" t="str">
        <f>HYPERLINK("https://www.procyclingstats.com/search.php?term=von+Berswordt+Sophie","Cerca")</f>
        <v>Cerca</v>
      </c>
    </row>
    <row r="221" spans="1:4">
      <c r="A221">
        <v>220</v>
      </c>
      <c r="B221" t="s">
        <v>444</v>
      </c>
      <c r="C221" t="s">
        <v>445</v>
      </c>
      <c r="D221" t="str">
        <f>HYPERLINK("https://www.procyclingstats.com/search.php?term=Østdal+Linus","Cerca")</f>
        <v>Cerca</v>
      </c>
    </row>
    <row r="222" spans="1:4">
      <c r="A222">
        <v>221</v>
      </c>
      <c r="B222" t="s">
        <v>446</v>
      </c>
      <c r="D222" t="str">
        <f>HYPERLINK("https://www.procyclingstats.com/search.php?term=celle+gialle+(colonne+E-F)+=+da+compilare+tu+—+incolla+il+link+del+profilo+PCS+trovato+e,+se+vuoi,+una+nota","Cerca")</f>
        <v>Cerca</v>
      </c>
    </row>
    <row r="223" spans="1:4">
      <c r="A223">
        <v>222</v>
      </c>
      <c r="B223" t="s">
        <v>447</v>
      </c>
      <c r="D223" t="str">
        <f>HYPERLINK("https://www.procyclingstats.com/search.php?term=lista+corretta+rispetto+al+giro+grezzo:+esclusi+gli+atleti+che+in+realta'+hanno+gia'+un+profilo+PCS+funzionante+(falsi+negativi+da+intoppi+di+rete+durante+lo+scraping)","Cerca")</f>
        <v>Cerca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"/>
    </sheetView>
  </sheetViews>
  <sheetFormatPr defaultColWidth="9" defaultRowHeight="15"/>
  <cols>
    <col min="1" max="1" width="40" customWidth="1"/>
  </cols>
  <sheetData>
    <row r="1" spans="1:1">
      <c r="A1" s="1" t="s">
        <v>448</v>
      </c>
    </row>
    <row r="2" spans="1:1">
      <c r="A2" s="2" t="s">
        <v>1</v>
      </c>
    </row>
    <row r="3" spans="1:1">
      <c r="A3" t="s">
        <v>449</v>
      </c>
    </row>
    <row r="4" spans="1:1">
      <c r="A4" t="s">
        <v>450</v>
      </c>
    </row>
    <row r="5" spans="1:1">
      <c r="A5" t="s">
        <v>451</v>
      </c>
    </row>
    <row r="6" spans="1:1">
      <c r="A6" t="s">
        <v>452</v>
      </c>
    </row>
    <row r="7" spans="1:1">
      <c r="A7" t="s">
        <v>453</v>
      </c>
    </row>
    <row r="8" spans="1:1">
      <c r="A8" t="s">
        <v>454</v>
      </c>
    </row>
    <row r="9" spans="1:1">
      <c r="A9" t="s">
        <v>455</v>
      </c>
    </row>
    <row r="10" spans="1:1">
      <c r="A10" t="s">
        <v>456</v>
      </c>
    </row>
    <row r="11" spans="1:1">
      <c r="A11" t="s">
        <v>457</v>
      </c>
    </row>
    <row r="12" spans="1:1">
      <c r="A12" t="s">
        <v>458</v>
      </c>
    </row>
    <row r="13" spans="1:1">
      <c r="A13" t="s">
        <v>459</v>
      </c>
    </row>
    <row r="14" spans="1:1">
      <c r="A14" t="s">
        <v>460</v>
      </c>
    </row>
    <row r="15" spans="1:1">
      <c r="A15" t="s">
        <v>461</v>
      </c>
    </row>
    <row r="16" spans="1:1">
      <c r="A16" t="s">
        <v>462</v>
      </c>
    </row>
    <row r="17" spans="1:1">
      <c r="A17" t="s">
        <v>463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6"/>
  <sheetViews>
    <sheetView tabSelected="1" workbookViewId="0">
      <pane ySplit="2" topLeftCell="A36" activePane="bottomLeft" state="frozen"/>
      <selection/>
      <selection pane="bottomLeft" activeCell="B55" sqref="B55"/>
    </sheetView>
  </sheetViews>
  <sheetFormatPr defaultColWidth="9" defaultRowHeight="15" outlineLevelCol="3"/>
  <cols>
    <col min="1" max="1" width="5" customWidth="1"/>
    <col min="2" max="2" width="42" customWidth="1"/>
    <col min="3" max="3" width="30" customWidth="1"/>
    <col min="4" max="4" width="20" customWidth="1"/>
  </cols>
  <sheetData>
    <row r="1" spans="1:4">
      <c r="A1" s="1" t="s">
        <v>464</v>
      </c>
    </row>
    <row r="2" spans="1:4">
      <c r="A2" s="2" t="s">
        <v>0</v>
      </c>
      <c r="B2" s="2" t="s">
        <v>465</v>
      </c>
      <c r="C2" s="2" t="s">
        <v>466</v>
      </c>
      <c r="D2" s="2" t="s">
        <v>5</v>
      </c>
    </row>
    <row r="3" spans="1:4">
      <c r="A3">
        <v>20</v>
      </c>
      <c r="B3" t="s">
        <v>467</v>
      </c>
      <c r="C3" t="s">
        <v>468</v>
      </c>
      <c r="D3" t="str">
        <f>HYPERLINK("https://www.procyclingstats.com/search.php?term=IND.+FORNITURE+MORO-C&amp;G+CAPITAL","Cerca su PCS")</f>
        <v>Cerca su PCS</v>
      </c>
    </row>
    <row r="4" spans="1:4">
      <c r="A4">
        <v>21</v>
      </c>
      <c r="B4" t="s">
        <v>469</v>
      </c>
      <c r="C4" t="s">
        <v>470</v>
      </c>
      <c r="D4" t="str">
        <f>HYPERLINK("https://www.procyclingstats.com/search.php?term=ETHICA+ZERO24+CYCLING+TEAM+ECOTEK","Cerca su PCS")</f>
        <v>Cerca su PCS</v>
      </c>
    </row>
    <row r="5" spans="1:4">
      <c r="A5">
        <v>22</v>
      </c>
      <c r="B5" t="s">
        <v>471</v>
      </c>
      <c r="C5" t="s">
        <v>472</v>
      </c>
      <c r="D5" t="str">
        <f>HYPERLINK("https://www.procyclingstats.com/search.php?term=CYCLING+TEAM+NIAL+NIZZOLI+ALMO","Cerca su PCS")</f>
        <v>Cerca su PCS</v>
      </c>
    </row>
    <row r="6" spans="1:4">
      <c r="A6">
        <v>23</v>
      </c>
      <c r="B6" t="s">
        <v>473</v>
      </c>
      <c r="C6" t="s">
        <v>474</v>
      </c>
      <c r="D6" t="str">
        <f>HYPERLINK("https://www.procyclingstats.com/search.php?term=MADONE-TEAM+BIKE+SICILIA","Cerca su PCS")</f>
        <v>Cerca su PCS</v>
      </c>
    </row>
    <row r="7" spans="1:4">
      <c r="A7">
        <v>24</v>
      </c>
      <c r="B7" t="s">
        <v>475</v>
      </c>
      <c r="C7" t="s">
        <v>474</v>
      </c>
      <c r="D7" t="str">
        <f>HYPERLINK("https://www.procyclingstats.com/search.php?term=MULTICAR+GRUPPO+AMARU'","Cerca su PCS")</f>
        <v>Cerca su PCS</v>
      </c>
    </row>
    <row r="8" spans="1:4">
      <c r="A8">
        <v>25</v>
      </c>
      <c r="B8" t="s">
        <v>476</v>
      </c>
      <c r="C8" t="s">
        <v>477</v>
      </c>
      <c r="D8" t="str">
        <f>HYPERLINK("https://www.procyclingstats.com/search.php?term=SALUS+CICLISTICA+SEREGNO+DE+ROSA","Cerca su PCS")</f>
        <v>Cerca su PCS</v>
      </c>
    </row>
    <row r="9" spans="1:4">
      <c r="A9">
        <v>26</v>
      </c>
      <c r="B9" t="s">
        <v>478</v>
      </c>
      <c r="C9" t="s">
        <v>474</v>
      </c>
      <c r="D9" t="str">
        <f>HYPERLINK("https://www.procyclingstats.com/search.php?term=A.S.D.+PROBIKE+ERICE","Cerca su PCS")</f>
        <v>Cerca su PCS</v>
      </c>
    </row>
    <row r="10" spans="1:4">
      <c r="A10">
        <v>27</v>
      </c>
      <c r="B10" t="s">
        <v>479</v>
      </c>
      <c r="C10" t="s">
        <v>480</v>
      </c>
      <c r="D10" t="str">
        <f>HYPERLINK("https://www.procyclingstats.com/search.php?term=ARAN+CUCINE+VEJUS","Cerca su PCS")</f>
        <v>Cerca su PCS</v>
      </c>
    </row>
    <row r="11" spans="1:4">
      <c r="A11">
        <v>28</v>
      </c>
      <c r="B11" t="s">
        <v>481</v>
      </c>
      <c r="C11" t="s">
        <v>474</v>
      </c>
      <c r="D11" t="str">
        <f>HYPERLINK("https://www.procyclingstats.com/search.php?term=S.C.+TERRANOVA+FANCELLO+CICLI","Cerca su PCS")</f>
        <v>Cerca su PCS</v>
      </c>
    </row>
    <row r="12" spans="1:4">
      <c r="A12">
        <v>29</v>
      </c>
      <c r="B12" t="s">
        <v>482</v>
      </c>
      <c r="C12" t="s">
        <v>474</v>
      </c>
      <c r="D12" t="str">
        <f>HYPERLINK("https://www.procyclingstats.com/search.php?term=POOL+BIKE+SERRAMANNA","Cerca su PCS")</f>
        <v>Cerca su PCS</v>
      </c>
    </row>
    <row r="13" spans="1:4">
      <c r="A13">
        <v>30</v>
      </c>
      <c r="B13" t="s">
        <v>483</v>
      </c>
      <c r="C13" t="s">
        <v>474</v>
      </c>
      <c r="D13" t="str">
        <f>HYPERLINK("https://www.procyclingstats.com/search.php?term=DUEPPI+CYCLING+PROJECT","Cerca su PCS")</f>
        <v>Cerca su PCS</v>
      </c>
    </row>
    <row r="14" spans="1:4">
      <c r="A14">
        <v>31</v>
      </c>
      <c r="B14" t="s">
        <v>484</v>
      </c>
      <c r="C14" t="s">
        <v>474</v>
      </c>
    </row>
    <row r="15" spans="1:4">
      <c r="A15">
        <v>32</v>
      </c>
      <c r="B15" t="s">
        <v>485</v>
      </c>
      <c r="C15" t="s">
        <v>474</v>
      </c>
      <c r="D15" t="str">
        <f>HYPERLINK("https://www.procyclingstats.com/search.php?term=SESTU+BIKE+A.S.D.","Cerca su PCS")</f>
        <v>Cerca su PCS</v>
      </c>
    </row>
    <row r="16" spans="1:4">
      <c r="A16">
        <v>33</v>
      </c>
      <c r="B16" t="s">
        <v>486</v>
      </c>
      <c r="C16" t="s">
        <v>474</v>
      </c>
      <c r="D16" t="str">
        <f>HYPERLINK("https://www.procyclingstats.com/search.php?term=S.C.+MONTEPONI+A.S.D.","Cerca su PCS")</f>
        <v>Cerca su PCS</v>
      </c>
    </row>
    <row r="17" spans="1:4">
      <c r="A17">
        <v>34</v>
      </c>
      <c r="B17" t="s">
        <v>487</v>
      </c>
      <c r="C17" t="s">
        <v>488</v>
      </c>
      <c r="D17" t="str">
        <f>HYPERLINK("https://www.procyclingstats.com/search.php?term=FERALPI+MONTECLARENSE+ASD","Cerca su PCS")</f>
        <v>Cerca su PCS</v>
      </c>
    </row>
    <row r="18" spans="1:4">
      <c r="A18">
        <v>35</v>
      </c>
      <c r="B18" t="s">
        <v>489</v>
      </c>
      <c r="C18" t="s">
        <v>490</v>
      </c>
      <c r="D18" t="str">
        <f>HYPERLINK("https://www.procyclingstats.com/search.php?term=TEAM+TECHNIPES+#INEMILIAROMAGNA","Cerca su PCS")</f>
        <v>Cerca su PCS</v>
      </c>
    </row>
    <row r="19" spans="1:4">
      <c r="A19">
        <v>36</v>
      </c>
      <c r="B19" t="s">
        <v>491</v>
      </c>
      <c r="C19" t="s">
        <v>492</v>
      </c>
      <c r="D19" t="str">
        <f>HYPERLINK("https://www.procyclingstats.com/search.php?term=GALLINA+LUCCHINI+ECOTEK","Cerca su PCS")</f>
        <v>Cerca su PCS</v>
      </c>
    </row>
    <row r="20" spans="1:4">
      <c r="A20">
        <v>37</v>
      </c>
      <c r="B20" t="s">
        <v>493</v>
      </c>
      <c r="C20" t="s">
        <v>474</v>
      </c>
      <c r="D20" t="str">
        <f>HYPERLINK("https://www.procyclingstats.com/search.php?term=TEAM+SERIO","Cerca su PCS")</f>
        <v>Cerca su PCS</v>
      </c>
    </row>
    <row r="21" spans="1:4">
      <c r="A21">
        <v>38</v>
      </c>
      <c r="B21" t="s">
        <v>494</v>
      </c>
      <c r="C21" t="s">
        <v>495</v>
      </c>
      <c r="D21" t="str">
        <f>HYPERLINK("https://www.procyclingstats.com/search.php?term=CICLISTICA+OMNIA+IMOLA","Cerca su PCS")</f>
        <v>Cerca su PCS</v>
      </c>
    </row>
    <row r="22" spans="1:4">
      <c r="A22">
        <v>39</v>
      </c>
      <c r="B22" t="s">
        <v>496</v>
      </c>
      <c r="C22" t="s">
        <v>497</v>
      </c>
      <c r="D22" t="str">
        <f>HYPERLINK("https://www.procyclingstats.com/search.php?term=TOYOTA+VALENCIA+SAV","Cerca su PCS")</f>
        <v>Cerca su PCS</v>
      </c>
    </row>
    <row r="23" spans="1:4">
      <c r="A23">
        <v>40</v>
      </c>
      <c r="B23" t="s">
        <v>498</v>
      </c>
      <c r="C23" t="s">
        <v>499</v>
      </c>
      <c r="D23" t="str">
        <f>HYPERLINK("https://www.procyclingstats.com/search.php?term=HORIZONS+CYCLING+CLUB","Cerca su PCS")</f>
        <v>Cerca su PCS</v>
      </c>
    </row>
    <row r="24" spans="1:4">
      <c r="A24">
        <v>41</v>
      </c>
      <c r="B24" t="s">
        <v>500</v>
      </c>
      <c r="C24" t="s">
        <v>474</v>
      </c>
      <c r="D24" t="str">
        <f>HYPERLINK("https://www.procyclingstats.com/search.php?term=LOMBARDIA","Cerca su PCS")</f>
        <v>Cerca su PCS</v>
      </c>
    </row>
    <row r="25" spans="1:4">
      <c r="A25">
        <v>42</v>
      </c>
      <c r="B25" t="s">
        <v>501</v>
      </c>
      <c r="C25" t="s">
        <v>474</v>
      </c>
      <c r="D25" t="str">
        <f>HYPERLINK("https://www.procyclingstats.com/search.php?term=VENETO","Cerca su PCS")</f>
        <v>Cerca su PCS</v>
      </c>
    </row>
    <row r="26" spans="1:4">
      <c r="A26">
        <v>43</v>
      </c>
      <c r="B26" t="s">
        <v>502</v>
      </c>
      <c r="C26" t="s">
        <v>474</v>
      </c>
      <c r="D26" t="str">
        <f>HYPERLINK("https://www.procyclingstats.com/search.php?term=TOSCANA","Cerca su PCS")</f>
        <v>Cerca su PCS</v>
      </c>
    </row>
    <row r="27" spans="1:4">
      <c r="A27">
        <v>44</v>
      </c>
      <c r="B27" t="s">
        <v>503</v>
      </c>
      <c r="C27" t="s">
        <v>504</v>
      </c>
      <c r="D27" t="str">
        <f>HYPERLINK("https://www.procyclingstats.com/search.php?term=TEAM+POLTI+VISITMALTA","Cerca su PCS")</f>
        <v>Cerca su PCS</v>
      </c>
    </row>
    <row r="28" spans="1:4">
      <c r="A28">
        <v>45</v>
      </c>
      <c r="B28" t="s">
        <v>505</v>
      </c>
      <c r="C28" t="s">
        <v>506</v>
      </c>
      <c r="D28" t="str">
        <f>HYPERLINK("https://www.procyclingstats.com/search.php?term=MG+K-VIS+COSTRUZIONI+E+AMBIENTE","Cerca su PCS")</f>
        <v>Cerca su PCS</v>
      </c>
    </row>
    <row r="29" spans="1:4">
      <c r="A29">
        <v>46</v>
      </c>
      <c r="B29" t="s">
        <v>507</v>
      </c>
      <c r="C29" t="s">
        <v>508</v>
      </c>
      <c r="D29" t="str">
        <f>HYPERLINK("https://www.procyclingstats.com/search.php?term=GOODSHOP+YOYOGURT","Cerca su PCS")</f>
        <v>Cerca su PCS</v>
      </c>
    </row>
    <row r="30" spans="1:4">
      <c r="A30">
        <v>47</v>
      </c>
      <c r="B30" t="s">
        <v>509</v>
      </c>
      <c r="C30" t="s">
        <v>510</v>
      </c>
      <c r="D30" t="str">
        <f>HYPERLINK("https://www.procyclingstats.com/search.php?term=GS+MALTINTI+LAMPADARI+BANCA+CAMBIANO","Cerca su PCS")</f>
        <v>Cerca su PCS</v>
      </c>
    </row>
    <row r="31" spans="1:4">
      <c r="A31">
        <v>48</v>
      </c>
      <c r="B31" t="s">
        <v>511</v>
      </c>
      <c r="C31" t="s">
        <v>512</v>
      </c>
      <c r="D31" t="str">
        <f>HYPERLINK("https://www.procyclingstats.com/search.php?term=U.C.+PIASCO","Cerca su PCS")</f>
        <v>Cerca su PCS</v>
      </c>
    </row>
    <row r="32" spans="1:4">
      <c r="A32">
        <v>49</v>
      </c>
      <c r="B32" t="s">
        <v>513</v>
      </c>
      <c r="C32" t="s">
        <v>514</v>
      </c>
      <c r="D32" t="str">
        <f>HYPERLINK("https://www.procyclingstats.com/search.php?term=NORDEST+PETRUCCI+ASSALI+STEFEN","Cerca su PCS")</f>
        <v>Cerca su PCS</v>
      </c>
    </row>
    <row r="33" spans="1:4">
      <c r="A33">
        <v>50</v>
      </c>
      <c r="B33" t="s">
        <v>515</v>
      </c>
      <c r="C33" t="s">
        <v>516</v>
      </c>
      <c r="D33" t="str">
        <f>HYPERLINK("https://www.procyclingstats.com/search.php?term=AUTOZAI-CONTRI","Cerca su PCS")</f>
        <v>Cerca su PCS</v>
      </c>
    </row>
    <row r="34" spans="1:4">
      <c r="A34">
        <v>51</v>
      </c>
      <c r="B34" t="s">
        <v>517</v>
      </c>
      <c r="C34" t="s">
        <v>474</v>
      </c>
      <c r="D34" t="str">
        <f>HYPERLINK("https://www.procyclingstats.com/search.php?term=CLUB+DEPORTIVO+TRI+SPORT","Cerca su PCS")</f>
        <v>Cerca su PCS</v>
      </c>
    </row>
    <row r="35" spans="1:4">
      <c r="A35">
        <v>52</v>
      </c>
      <c r="B35" t="s">
        <v>518</v>
      </c>
      <c r="C35" t="s">
        <v>519</v>
      </c>
      <c r="D35" t="str">
        <f>HYPERLINK("https://www.procyclingstats.com/search.php?term=TEAM+GENERAL+SYSTEM","Cerca su PCS")</f>
        <v>Cerca su PCS</v>
      </c>
    </row>
    <row r="36" spans="1:4">
      <c r="A36">
        <v>53</v>
      </c>
      <c r="B36" t="s">
        <v>520</v>
      </c>
      <c r="C36" t="s">
        <v>474</v>
      </c>
      <c r="D36" t="str">
        <f>HYPERLINK("https://www.procyclingstats.com/search.php?term=SIDERMEC+-+SLP","Cerca su PCS")</f>
        <v>Cerca su PCS</v>
      </c>
    </row>
    <row r="37" spans="1:4">
      <c r="A37">
        <v>54</v>
      </c>
      <c r="B37" t="s">
        <v>521</v>
      </c>
      <c r="C37" t="s">
        <v>522</v>
      </c>
      <c r="D37" t="str">
        <f>HYPERLINK("https://www.procyclingstats.com/search.php?term=TEAM+VANGI+TOMMASINI+IL+PIRATA","Cerca su PCS")</f>
        <v>Cerca su PCS</v>
      </c>
    </row>
    <row r="38" spans="1:4">
      <c r="A38">
        <v>55</v>
      </c>
      <c r="B38" t="s">
        <v>523</v>
      </c>
      <c r="C38" t="s">
        <v>524</v>
      </c>
      <c r="D38" t="str">
        <f>HYPERLINK("https://www.procyclingstats.com/search.php?term=ITALIA+NUOVA+BOLOGNA","Cerca su PCS")</f>
        <v>Cerca su PCS</v>
      </c>
    </row>
    <row r="39" spans="1:4">
      <c r="A39">
        <v>56</v>
      </c>
      <c r="B39" t="s">
        <v>525</v>
      </c>
      <c r="C39" t="s">
        <v>474</v>
      </c>
      <c r="D39" t="str">
        <f>HYPERLINK("https://www.procyclingstats.com/search.php?term=PIEMONTE","Cerca su PCS")</f>
        <v>Cerca su PCS</v>
      </c>
    </row>
    <row r="40" spans="1:4">
      <c r="A40">
        <v>57</v>
      </c>
      <c r="B40" t="s">
        <v>526</v>
      </c>
      <c r="C40" t="s">
        <v>527</v>
      </c>
      <c r="D40" t="str">
        <f>HYPERLINK("https://www.procyclingstats.com/search.php?term=MASTROMARCO+FC+NIBALI","Cerca su PCS")</f>
        <v>Cerca su PCS</v>
      </c>
    </row>
    <row r="41" spans="1:4">
      <c r="A41">
        <v>58</v>
      </c>
      <c r="B41" t="s">
        <v>528</v>
      </c>
      <c r="C41" t="s">
        <v>529</v>
      </c>
      <c r="D41" t="str">
        <f>HYPERLINK("https://www.procyclingstats.com/search.php?term=ASD+SWATT+CLUB","Cerca su PCS")</f>
        <v>Cerca su PCS</v>
      </c>
    </row>
    <row r="42" spans="1:4">
      <c r="A42">
        <v>59</v>
      </c>
      <c r="B42" t="s">
        <v>530</v>
      </c>
      <c r="C42" t="s">
        <v>531</v>
      </c>
      <c r="D42" t="str">
        <f>HYPERLINK("https://www.procyclingstats.com/search.php?term=TEAM+WSA+KTM+GRAZ","Cerca su PCS")</f>
        <v>Cerca su PCS</v>
      </c>
    </row>
    <row r="43" spans="1:4">
      <c r="A43">
        <v>60</v>
      </c>
      <c r="B43" t="s">
        <v>532</v>
      </c>
      <c r="C43" t="s">
        <v>533</v>
      </c>
      <c r="D43" t="str">
        <f>HYPERLINK("https://www.procyclingstats.com/search.php?term=POOL+CANTU'+GB+TEAM+A.S.D.","Cerca su PCS")</f>
        <v>Cerca su PCS</v>
      </c>
    </row>
    <row r="44" spans="1:4">
      <c r="A44">
        <v>61</v>
      </c>
      <c r="B44" t="s">
        <v>534</v>
      </c>
      <c r="C44" t="s">
        <v>535</v>
      </c>
      <c r="D44" t="str">
        <f>HYPERLINK("https://www.procyclingstats.com/search.php?term=S.+C.+CENE+A.+S.+D.","Cerca su PCS")</f>
        <v>Cerca su PCS</v>
      </c>
    </row>
    <row r="45" spans="1:4">
      <c r="A45">
        <v>62</v>
      </c>
      <c r="B45" t="s">
        <v>536</v>
      </c>
      <c r="C45" t="s">
        <v>537</v>
      </c>
      <c r="D45" t="str">
        <f>HYPERLINK("https://www.procyclingstats.com/search.php?term=XDS+ASTANA+DEVELOPMENT+TEAM","Cerca su PCS")</f>
        <v>Cerca su PCS</v>
      </c>
    </row>
    <row r="46" spans="1:4">
      <c r="A46">
        <v>63</v>
      </c>
      <c r="B46" t="s">
        <v>538</v>
      </c>
      <c r="C46" t="s">
        <v>539</v>
      </c>
      <c r="D46" t="str">
        <f>HYPERLINK("https://www.procyclingstats.com/search.php?term=SOUDAL+QUICK-STEP+DEVO+TEAM","Cerca su PCS")</f>
        <v>Cerca su PCS</v>
      </c>
    </row>
    <row r="47" spans="1:4">
      <c r="A47">
        <v>64</v>
      </c>
      <c r="B47" t="s">
        <v>540</v>
      </c>
      <c r="C47" t="s">
        <v>474</v>
      </c>
      <c r="D47" t="str">
        <f>HYPERLINK("https://www.procyclingstats.com/search.php?term=EQUIPE+CORBETTESE","Cerca su PCS")</f>
        <v>Cerca su PCS</v>
      </c>
    </row>
    <row r="48" spans="1:4">
      <c r="A48">
        <v>65</v>
      </c>
      <c r="B48" t="s">
        <v>541</v>
      </c>
      <c r="C48" t="s">
        <v>542</v>
      </c>
      <c r="D48" t="str">
        <f>HYPERLINK("https://www.procyclingstats.com/search.php?term=WWV+HAGENS+BERMAN+-+JAYCO","Cerca su PCS")</f>
        <v>Cerca su PCS</v>
      </c>
    </row>
    <row r="49" spans="1:4">
      <c r="A49">
        <v>66</v>
      </c>
      <c r="B49" s="3" t="s">
        <v>543</v>
      </c>
      <c r="C49" s="3" t="s">
        <v>544</v>
      </c>
      <c r="D49" t="str">
        <f>HYPERLINK("https://www.procyclingstats.com/search.php?term=LIDL+-+TREK","Cerca su PCS")</f>
        <v>Cerca su PCS</v>
      </c>
    </row>
    <row r="50" spans="1:4">
      <c r="A50">
        <v>67</v>
      </c>
      <c r="B50" t="s">
        <v>545</v>
      </c>
      <c r="C50" t="s">
        <v>474</v>
      </c>
      <c r="D50" t="str">
        <f>HYPERLINK("https://www.procyclingstats.com/search.php?term=FIAMME+ORO","Cerca su PCS")</f>
        <v>Cerca su PCS</v>
      </c>
    </row>
    <row r="51" spans="1:4">
      <c r="A51">
        <v>68</v>
      </c>
      <c r="B51" t="s">
        <v>546</v>
      </c>
      <c r="C51" t="s">
        <v>474</v>
      </c>
      <c r="D51" t="str">
        <f>HYPERLINK("https://www.procyclingstats.com/search.php?term=GS+FIAMME+AZZURRE","Cerca su PCS")</f>
        <v>Cerca su PCS</v>
      </c>
    </row>
    <row r="52" spans="1:4">
      <c r="A52">
        <v>69</v>
      </c>
      <c r="B52" t="s">
        <v>547</v>
      </c>
      <c r="C52" t="s">
        <v>548</v>
      </c>
      <c r="D52" t="str">
        <f>HYPERLINK("https://www.procyclingstats.com/search.php?term=LABORAL+KUTXA+-+FUNDACION+EUSKADI","Cerca su PCS")</f>
        <v>Cerca su PCS</v>
      </c>
    </row>
    <row r="53" spans="1:4">
      <c r="A53">
        <v>70</v>
      </c>
      <c r="B53" s="3" t="s">
        <v>549</v>
      </c>
      <c r="C53" s="3" t="s">
        <v>550</v>
      </c>
      <c r="D53" t="str">
        <f>HYPERLINK("https://www.procyclingstats.com/search.php?term=MOVISTAR+TEAM","Cerca su PCS")</f>
        <v>Cerca su PCS</v>
      </c>
    </row>
    <row r="54" spans="1:4">
      <c r="A54">
        <v>71</v>
      </c>
      <c r="B54" t="s">
        <v>551</v>
      </c>
      <c r="C54" t="s">
        <v>552</v>
      </c>
      <c r="D54" t="str">
        <f>HYPERLINK("https://www.procyclingstats.com/search.php?term=ROTOGAL+GUADENSE","Cerca su PCS")</f>
        <v>Cerca su PCS</v>
      </c>
    </row>
    <row r="55" spans="1:4">
      <c r="A55">
        <v>72</v>
      </c>
      <c r="B55" t="s">
        <v>553</v>
      </c>
      <c r="C55" t="s">
        <v>474</v>
      </c>
      <c r="D55" t="str">
        <f>HYPERLINK("https://www.procyclingstats.com/search.php?term=CASANO","Cerca su PCS")</f>
        <v>Cerca su PCS</v>
      </c>
    </row>
    <row r="56" spans="1:4">
      <c r="A56">
        <v>73</v>
      </c>
      <c r="B56" t="s">
        <v>554</v>
      </c>
      <c r="C56" t="s">
        <v>474</v>
      </c>
      <c r="D56" t="str">
        <f>HYPERLINK("https://www.procyclingstats.com/search.php?term=E'+VALTELLINA+PEDALE+MORBEGNESE","Cerca su PCS")</f>
        <v>Cerca su PCS</v>
      </c>
    </row>
    <row r="57" spans="1:4">
      <c r="A57">
        <v>74</v>
      </c>
      <c r="B57" t="s">
        <v>555</v>
      </c>
      <c r="C57" t="s">
        <v>474</v>
      </c>
      <c r="D57" t="str">
        <f>HYPERLINK("https://www.procyclingstats.com/search.php?term=TEAM+GUERRINI+SENAGHESE","Cerca su PCS")</f>
        <v>Cerca su PCS</v>
      </c>
    </row>
    <row r="58" spans="1:4">
      <c r="A58">
        <v>75</v>
      </c>
      <c r="B58" t="s">
        <v>556</v>
      </c>
      <c r="C58" t="s">
        <v>474</v>
      </c>
      <c r="D58" t="str">
        <f>HYPERLINK("https://www.procyclingstats.com/search.php?term=G.S.+MASSI'+SUPERMERCATI+PONTIDA","Cerca su PCS")</f>
        <v>Cerca su PCS</v>
      </c>
    </row>
    <row r="59" spans="1:4">
      <c r="A59">
        <v>76</v>
      </c>
      <c r="B59" t="s">
        <v>557</v>
      </c>
      <c r="C59" t="s">
        <v>474</v>
      </c>
      <c r="D59" t="str">
        <f>HYPERLINK("https://www.procyclingstats.com/search.php?term=U.C.A.B.+1925+BIELLA+-+SEMPERLUX","Cerca su PCS")</f>
        <v>Cerca su PCS</v>
      </c>
    </row>
    <row r="60" spans="1:4">
      <c r="A60">
        <v>77</v>
      </c>
      <c r="B60" t="s">
        <v>558</v>
      </c>
      <c r="C60" t="s">
        <v>474</v>
      </c>
      <c r="D60" t="str">
        <f>HYPERLINK("https://www.procyclingstats.com/search.php?term=STAR+CYCLING+LAB","Cerca su PCS")</f>
        <v>Cerca su PCS</v>
      </c>
    </row>
    <row r="61" spans="1:4">
      <c r="A61">
        <v>78</v>
      </c>
      <c r="B61" t="s">
        <v>559</v>
      </c>
      <c r="C61" t="s">
        <v>474</v>
      </c>
      <c r="D61" t="str">
        <f>HYPERLINK("https://www.procyclingstats.com/search.php?term=ITALIA","Cerca su PCS")</f>
        <v>Cerca su PCS</v>
      </c>
    </row>
    <row r="62" spans="1:4">
      <c r="A62">
        <v>79</v>
      </c>
      <c r="B62" t="s">
        <v>560</v>
      </c>
      <c r="C62" t="s">
        <v>474</v>
      </c>
      <c r="D62" t="str">
        <f>HYPERLINK("https://www.procyclingstats.com/search.php?term=MOVISTAR+TEAM+ACADEMY","Cerca su PCS")</f>
        <v>Cerca su PCS</v>
      </c>
    </row>
    <row r="63" spans="1:4">
      <c r="A63">
        <v>80</v>
      </c>
      <c r="B63" t="s">
        <v>561</v>
      </c>
      <c r="C63" t="s">
        <v>474</v>
      </c>
      <c r="D63" t="str">
        <f>HYPERLINK("https://www.procyclingstats.com/search.php?term=G.S.+BAREGGESE+A.S.D","Cerca su PCS")</f>
        <v>Cerca su PCS</v>
      </c>
    </row>
    <row r="64" spans="1:4">
      <c r="A64">
        <v>81</v>
      </c>
      <c r="B64" t="s">
        <v>562</v>
      </c>
      <c r="C64" t="s">
        <v>474</v>
      </c>
      <c r="D64" t="str">
        <f>HYPERLINK("https://www.procyclingstats.com/search.php?term=B-TEAM+CYCLING+PROJECT","Cerca su PCS")</f>
        <v>Cerca su PCS</v>
      </c>
    </row>
    <row r="65" spans="1:4">
      <c r="A65">
        <v>82</v>
      </c>
      <c r="B65" t="s">
        <v>563</v>
      </c>
      <c r="C65" t="s">
        <v>474</v>
      </c>
      <c r="D65" t="str">
        <f>HYPERLINK("https://www.procyclingstats.com/search.php?term=MEBLO+JOGI+PRO-CONCRETE","Cerca su PCS")</f>
        <v>Cerca su PCS</v>
      </c>
    </row>
    <row r="66" spans="1:4">
      <c r="A66">
        <v>83</v>
      </c>
      <c r="B66" t="s">
        <v>564</v>
      </c>
      <c r="C66" t="s">
        <v>474</v>
      </c>
      <c r="D66" t="str">
        <f>HYPERLINK("https://www.procyclingstats.com/search.php?term=POGI+TEAM+UAE+GENERALI","Cerca su PCS")</f>
        <v>Cerca su PCS</v>
      </c>
    </row>
    <row r="67" spans="1:4">
      <c r="A67">
        <v>84</v>
      </c>
      <c r="B67" t="s">
        <v>565</v>
      </c>
      <c r="C67" t="s">
        <v>474</v>
      </c>
      <c r="D67" t="str">
        <f>HYPERLINK("https://www.procyclingstats.com/search.php?term=SS+AQUILA","Cerca su PCS")</f>
        <v>Cerca su PCS</v>
      </c>
    </row>
    <row r="68" spans="1:4">
      <c r="A68">
        <v>85</v>
      </c>
      <c r="B68" t="s">
        <v>566</v>
      </c>
      <c r="C68" t="s">
        <v>474</v>
      </c>
      <c r="D68" t="str">
        <f>HYPERLINK("https://www.procyclingstats.com/search.php?term=VIGNA+FIORITA-BORGO+MOLINO","Cerca su PCS")</f>
        <v>Cerca su PCS</v>
      </c>
    </row>
    <row r="69" spans="1:4">
      <c r="A69">
        <v>86</v>
      </c>
      <c r="B69" t="s">
        <v>567</v>
      </c>
      <c r="C69" t="s">
        <v>474</v>
      </c>
      <c r="D69" t="str">
        <f>HYPERLINK("https://www.procyclingstats.com/search.php?term=FACTOR+RACING","Cerca su PCS")</f>
        <v>Cerca su PCS</v>
      </c>
    </row>
    <row r="70" spans="1:4">
      <c r="A70">
        <v>87</v>
      </c>
      <c r="B70" t="s">
        <v>568</v>
      </c>
      <c r="C70" t="s">
        <v>474</v>
      </c>
      <c r="D70" t="str">
        <f>HYPERLINK("https://www.procyclingstats.com/search.php?term=V.C.+ORSAGO+-+OROGILDO","Cerca su PCS")</f>
        <v>Cerca su PCS</v>
      </c>
    </row>
    <row r="71" spans="1:4">
      <c r="A71">
        <v>88</v>
      </c>
      <c r="B71" t="s">
        <v>569</v>
      </c>
      <c r="C71" t="s">
        <v>474</v>
      </c>
      <c r="D71" t="str">
        <f>HYPERLINK("https://www.procyclingstats.com/search.php?term=ST+KILDA+CYCLING+CLUB","Cerca su PCS")</f>
        <v>Cerca su PCS</v>
      </c>
    </row>
    <row r="72" spans="1:4">
      <c r="A72">
        <v>89</v>
      </c>
      <c r="B72" t="s">
        <v>570</v>
      </c>
      <c r="C72" t="s">
        <v>474</v>
      </c>
      <c r="D72" t="str">
        <f>HYPERLINK("https://www.procyclingstats.com/search.php?term=TUDOR+PRO+CYCLING+U23","Cerca su PCS")</f>
        <v>Cerca su PCS</v>
      </c>
    </row>
    <row r="73" spans="1:4">
      <c r="A73">
        <v>90</v>
      </c>
      <c r="B73" t="s">
        <v>571</v>
      </c>
      <c r="C73" t="s">
        <v>474</v>
      </c>
      <c r="D73" t="str">
        <f>HYPERLINK("https://www.procyclingstats.com/search.php?term=U.C+TREVIGIANI+ENERGIAPURA+MARCHIOL","Cerca su PCS")</f>
        <v>Cerca su PCS</v>
      </c>
    </row>
    <row r="74" spans="1:4">
      <c r="A74">
        <v>91</v>
      </c>
      <c r="B74" t="s">
        <v>572</v>
      </c>
      <c r="C74" t="s">
        <v>474</v>
      </c>
      <c r="D74" t="str">
        <f>HYPERLINK("https://www.procyclingstats.com/search.php?term=ARA+I+SKIP+CAPITAL","Cerca su PCS")</f>
        <v>Cerca su PCS</v>
      </c>
    </row>
    <row r="75" spans="1:4">
      <c r="A75">
        <v>92</v>
      </c>
      <c r="B75" t="s">
        <v>573</v>
      </c>
      <c r="C75" t="s">
        <v>474</v>
      </c>
      <c r="D75" t="str">
        <f>HYPERLINK("https://www.procyclingstats.com/search.php?term=ASD+G.C.+SISSIO+TEAM","Cerca su PCS")</f>
        <v>Cerca su PCS</v>
      </c>
    </row>
    <row r="76" spans="1:4">
      <c r="A76">
        <v>93</v>
      </c>
      <c r="B76" t="s">
        <v>574</v>
      </c>
      <c r="C76" t="s">
        <v>474</v>
      </c>
      <c r="D76" t="str">
        <f>HYPERLINK("https://www.procyclingstats.com/search.php?term=TRIS+STAMPI+FIOR+DI+GRANO","Cerca su PCS")</f>
        <v>Cerca su PCS</v>
      </c>
    </row>
    <row r="77" spans="1:4">
      <c r="A77">
        <v>94</v>
      </c>
      <c r="B77" t="s">
        <v>575</v>
      </c>
      <c r="C77" t="s">
        <v>474</v>
      </c>
      <c r="D77" t="str">
        <f>HYPERLINK("https://www.procyclingstats.com/search.php?term=NURRI-ORROLI+MTB+A.S.D.","Cerca su PCS")</f>
        <v>Cerca su PCS</v>
      </c>
    </row>
    <row r="78" spans="1:4">
      <c r="A78">
        <v>95</v>
      </c>
      <c r="B78" t="s">
        <v>576</v>
      </c>
      <c r="C78" t="s">
        <v>474</v>
      </c>
      <c r="D78" t="str">
        <f>HYPERLINK("https://www.procyclingstats.com/search.php?term=WCC+-+UCI+WORLD+CYCLING+CENTRE","Cerca su PCS")</f>
        <v>Cerca su PCS</v>
      </c>
    </row>
    <row r="79" spans="1:4">
      <c r="A79">
        <v>96</v>
      </c>
      <c r="B79" t="s">
        <v>577</v>
      </c>
      <c r="C79" t="s">
        <v>474</v>
      </c>
      <c r="D79" t="str">
        <f>HYPERLINK("https://www.procyclingstats.com/search.php?term=FANINI+PRO+CYCLING","Cerca su PCS")</f>
        <v>Cerca su PCS</v>
      </c>
    </row>
    <row r="80" spans="1:4">
      <c r="A80">
        <v>97</v>
      </c>
      <c r="B80" t="s">
        <v>578</v>
      </c>
      <c r="C80" t="s">
        <v>474</v>
      </c>
      <c r="D80" t="str">
        <f>HYPERLINK("https://www.procyclingstats.com/search.php?term=TSCHERNING+CYCLING+ACADEMY","Cerca su PCS")</f>
        <v>Cerca su PCS</v>
      </c>
    </row>
    <row r="81" spans="1:4">
      <c r="A81">
        <v>98</v>
      </c>
      <c r="B81" t="s">
        <v>579</v>
      </c>
      <c r="C81" t="s">
        <v>474</v>
      </c>
      <c r="D81" t="str">
        <f>HYPERLINK("https://www.procyclingstats.com/search.php?term=AR+MONEX+WMN+PRO+CYCLING+TEAM","Cerca su PCS")</f>
        <v>Cerca su PCS</v>
      </c>
    </row>
    <row r="82" spans="1:4">
      <c r="A82">
        <v>99</v>
      </c>
      <c r="B82" t="s">
        <v>580</v>
      </c>
      <c r="C82" t="s">
        <v>474</v>
      </c>
      <c r="D82" t="str">
        <f>HYPERLINK("https://www.procyclingstats.com/search.php?term=TEAM+CINGOLANI-SPECIALIZED","Cerca su PCS")</f>
        <v>Cerca su PCS</v>
      </c>
    </row>
    <row r="83" spans="1:4">
      <c r="A83">
        <v>100</v>
      </c>
      <c r="B83" t="s">
        <v>581</v>
      </c>
      <c r="C83" t="s">
        <v>474</v>
      </c>
      <c r="D83" t="str">
        <f>HYPERLINK("https://www.procyclingstats.com/search.php?term=TORELLI+CYCLING+TEAM","Cerca su PCS")</f>
        <v>Cerca su PCS</v>
      </c>
    </row>
    <row r="84" spans="1:4">
      <c r="A84">
        <v>101</v>
      </c>
      <c r="B84" t="s">
        <v>582</v>
      </c>
      <c r="C84" t="s">
        <v>474</v>
      </c>
      <c r="D84" t="str">
        <f>HYPERLINK("https://www.procyclingstats.com/search.php?term=S.C.V.+BIKE+CADORAGO+ASD","Cerca su PCS")</f>
        <v>Cerca su PCS</v>
      </c>
    </row>
    <row r="85" spans="1:4">
      <c r="A85">
        <v>102</v>
      </c>
      <c r="B85" t="s">
        <v>583</v>
      </c>
      <c r="C85" t="s">
        <v>474</v>
      </c>
      <c r="D85" t="str">
        <f>HYPERLINK("https://www.procyclingstats.com/search.php?term=LOTTO+INTERNARCHE'+LADIES","Cerca su PCS")</f>
        <v>Cerca su PCS</v>
      </c>
    </row>
    <row r="86" spans="1:4">
      <c r="A86">
        <v>103</v>
      </c>
      <c r="B86" t="s">
        <v>584</v>
      </c>
      <c r="C86" t="s">
        <v>474</v>
      </c>
      <c r="D86" t="str">
        <f>HYPERLINK("https://www.procyclingstats.com/search.php?term=TEAM+VISMA+LEASE+A+BIKE","Cerca su PCS")</f>
        <v>Cerca su PCS</v>
      </c>
    </row>
    <row r="87" spans="1:4">
      <c r="A87">
        <v>104</v>
      </c>
      <c r="B87" t="s">
        <v>585</v>
      </c>
      <c r="C87" t="s">
        <v>474</v>
      </c>
      <c r="D87" t="str">
        <f>HYPERLINK("https://www.procyclingstats.com/search.php?term=UNO-X+MOBILITY","Cerca su PCS")</f>
        <v>Cerca su PCS</v>
      </c>
    </row>
    <row r="88" spans="1:4">
      <c r="A88">
        <v>105</v>
      </c>
      <c r="B88" t="s">
        <v>586</v>
      </c>
      <c r="C88" t="s">
        <v>474</v>
      </c>
      <c r="D88" t="str">
        <f>HYPERLINK("https://www.procyclingstats.com/search.php?term=AG+INSURANCE+SOUDAL","Cerca su PCS")</f>
        <v>Cerca su PCS</v>
      </c>
    </row>
    <row r="89" spans="1:4">
      <c r="A89">
        <v>106</v>
      </c>
      <c r="B89" t="s">
        <v>587</v>
      </c>
      <c r="C89" t="s">
        <v>474</v>
      </c>
      <c r="D89" t="str">
        <f>HYPERLINK("https://www.procyclingstats.com/search.php?term=SVIZZERA","Cerca su PCS")</f>
        <v>Cerca su PCS</v>
      </c>
    </row>
    <row r="90" spans="1:4">
      <c r="A90">
        <v>107</v>
      </c>
      <c r="B90" t="s">
        <v>588</v>
      </c>
      <c r="C90" t="s">
        <v>474</v>
      </c>
      <c r="D90" t="str">
        <f>HYPERLINK("https://www.procyclingstats.com/search.php?term=NORVEGIA","Cerca su PCS")</f>
        <v>Cerca su PCS</v>
      </c>
    </row>
    <row r="91" spans="1:4">
      <c r="A91">
        <v>108</v>
      </c>
      <c r="B91" t="s">
        <v>589</v>
      </c>
      <c r="C91" t="s">
        <v>474</v>
      </c>
      <c r="D91" t="str">
        <f>HYPERLINK("https://www.procyclingstats.com/search.php?term=OLANDA","Cerca su PCS")</f>
        <v>Cerca su PCS</v>
      </c>
    </row>
    <row r="92" spans="1:4">
      <c r="A92">
        <v>109</v>
      </c>
      <c r="B92" t="s">
        <v>590</v>
      </c>
      <c r="C92" t="s">
        <v>474</v>
      </c>
      <c r="D92" t="str">
        <f>HYPERLINK("https://www.procyclingstats.com/search.php?term=AUSTRALIA","Cerca su PCS")</f>
        <v>Cerca su PCS</v>
      </c>
    </row>
    <row r="93" spans="1:4">
      <c r="A93">
        <v>110</v>
      </c>
      <c r="B93" t="s">
        <v>591</v>
      </c>
      <c r="C93" t="s">
        <v>474</v>
      </c>
      <c r="D93" t="str">
        <f>HYPERLINK("https://www.procyclingstats.com/search.php?term=SPAGNA","Cerca su PCS")</f>
        <v>Cerca su PCS</v>
      </c>
    </row>
    <row r="94" spans="1:4">
      <c r="A94">
        <v>111</v>
      </c>
      <c r="B94" t="s">
        <v>592</v>
      </c>
      <c r="C94" t="s">
        <v>474</v>
      </c>
      <c r="D94" t="str">
        <f>HYPERLINK("https://www.procyclingstats.com/search.php?term=NAZIONALE+UCRAINA","Cerca su PCS")</f>
        <v>Cerca su PCS</v>
      </c>
    </row>
    <row r="95" spans="1:4">
      <c r="A95">
        <v>112</v>
      </c>
      <c r="B95" t="s">
        <v>593</v>
      </c>
      <c r="C95" t="s">
        <v>474</v>
      </c>
      <c r="D95" t="str">
        <f>HYPERLINK("https://www.procyclingstats.com/search.php?term=POLISPORTIVA+TRIPETETOLO+SEANESE","Cerca su PCS")</f>
        <v>Cerca su PCS</v>
      </c>
    </row>
    <row r="96" spans="1:4">
      <c r="A96">
        <v>113</v>
      </c>
      <c r="B96" t="s">
        <v>594</v>
      </c>
      <c r="C96" t="s">
        <v>474</v>
      </c>
      <c r="D96" t="str">
        <f>HYPERLINK("https://www.procyclingstats.com/search.php?term=NIPPO+NUOVACOMAUTO+OBOR","Cerca su PCS")</f>
        <v>Cerca su PCS</v>
      </c>
    </row>
    <row r="97" spans="1:4">
      <c r="A97">
        <v>114</v>
      </c>
      <c r="B97" t="s">
        <v>595</v>
      </c>
      <c r="C97" t="s">
        <v>474</v>
      </c>
      <c r="D97" t="str">
        <f>HYPERLINK("https://www.procyclingstats.com/search.php?term=GARLASCHESE+A.S.D.","Cerca su PCS")</f>
        <v>Cerca su PCS</v>
      </c>
    </row>
    <row r="98" spans="1:4">
      <c r="A98">
        <v>115</v>
      </c>
      <c r="B98" t="s">
        <v>596</v>
      </c>
      <c r="C98" t="s">
        <v>474</v>
      </c>
      <c r="D98" t="str">
        <f>HYPERLINK("https://www.procyclingstats.com/search.php?term=ST+MICHEL-PREFERENCE+HOME-AUBER93","Cerca su PCS")</f>
        <v>Cerca su PCS</v>
      </c>
    </row>
    <row r="99" spans="1:4">
      <c r="A99">
        <v>116</v>
      </c>
      <c r="B99" t="s">
        <v>597</v>
      </c>
      <c r="C99" t="s">
        <v>474</v>
      </c>
      <c r="D99" t="str">
        <f>HYPERLINK("https://www.procyclingstats.com/search.php?term=TEAM+PICNIC+POSTNL","Cerca su PCS")</f>
        <v>Cerca su PCS</v>
      </c>
    </row>
    <row r="100" spans="1:4">
      <c r="A100">
        <v>117</v>
      </c>
      <c r="B100" t="s">
        <v>598</v>
      </c>
      <c r="C100" t="s">
        <v>474</v>
      </c>
      <c r="D100" t="str">
        <f>HYPERLINK("https://www.procyclingstats.com/search.php?term=MBH+BANK+CYCLING+TEAM+JUNIOR","Cerca su PCS")</f>
        <v>Cerca su PCS</v>
      </c>
    </row>
    <row r="101" spans="1:4">
      <c r="A101">
        <v>118</v>
      </c>
      <c r="B101" t="s">
        <v>599</v>
      </c>
      <c r="C101" t="s">
        <v>474</v>
      </c>
      <c r="D101" t="str">
        <f>HYPERLINK("https://www.procyclingstats.com/search.php?term=U.C.MONACO","Cerca su PCS")</f>
        <v>Cerca su PCS</v>
      </c>
    </row>
    <row r="102" spans="1:4">
      <c r="A102">
        <v>119</v>
      </c>
      <c r="B102" t="s">
        <v>600</v>
      </c>
      <c r="C102" t="s">
        <v>474</v>
      </c>
      <c r="D102" t="str">
        <f>HYPERLINK("https://www.procyclingstats.com/search.php?term=ASD+CAMPOBELLO+RUNNING+&amp;+BIKE","Cerca su PCS")</f>
        <v>Cerca su PCS</v>
      </c>
    </row>
    <row r="103" spans="1:4">
      <c r="A103">
        <v>120</v>
      </c>
      <c r="B103" t="s">
        <v>601</v>
      </c>
      <c r="C103" t="s">
        <v>474</v>
      </c>
      <c r="D103" t="str">
        <f>HYPERLINK("https://www.procyclingstats.com/search.php?term=DEKA+RIDERS+TEAM+ASD","Cerca su PCS")</f>
        <v>Cerca su PCS</v>
      </c>
    </row>
    <row r="104" spans="1:4">
      <c r="A104">
        <v>121</v>
      </c>
      <c r="B104" t="s">
        <v>602</v>
      </c>
      <c r="C104" t="s">
        <v>474</v>
      </c>
      <c r="D104" t="str">
        <f>HYPERLINK("https://www.procyclingstats.com/search.php?term=ZHIRAF","Cerca su PCS")</f>
        <v>Cerca su PCS</v>
      </c>
    </row>
    <row r="105" spans="1:4">
      <c r="A105">
        <v>122</v>
      </c>
      <c r="B105" t="s">
        <v>603</v>
      </c>
      <c r="C105" t="s">
        <v>474</v>
      </c>
      <c r="D105" t="str">
        <f>HYPERLINK("https://www.procyclingstats.com/search.php?term=BELGIO","Cerca su PCS")</f>
        <v>Cerca su PCS</v>
      </c>
    </row>
    <row r="106" spans="1:4">
      <c r="A106">
        <v>123</v>
      </c>
      <c r="B106" t="s">
        <v>604</v>
      </c>
      <c r="C106" t="s">
        <v>474</v>
      </c>
      <c r="D106" t="str">
        <f>HYPERLINK("https://www.procyclingstats.com/search.php?term=KK+NOVO+MESTO","Cerca su PCS")</f>
        <v>Cerca su PCS</v>
      </c>
    </row>
    <row r="107" spans="1:4">
      <c r="A107">
        <v>124</v>
      </c>
      <c r="B107" t="s">
        <v>605</v>
      </c>
      <c r="C107" t="s">
        <v>474</v>
      </c>
      <c r="D107" t="str">
        <f>HYPERLINK("https://www.procyclingstats.com/search.php?term=AXION+FUTURE+TEAM","Cerca su PCS")</f>
        <v>Cerca su PCS</v>
      </c>
    </row>
    <row r="108" spans="1:4">
      <c r="A108">
        <v>125</v>
      </c>
      <c r="B108" t="s">
        <v>606</v>
      </c>
      <c r="C108" t="s">
        <v>474</v>
      </c>
      <c r="D108" t="str">
        <f>HYPERLINK("https://www.procyclingstats.com/search.php?term=ASD+VELO+CLUB+AVEZZANO+BIKE+LINEAORO","Cerca su PCS")</f>
        <v>Cerca su PCS</v>
      </c>
    </row>
    <row r="109" spans="1:4">
      <c r="A109">
        <v>126</v>
      </c>
      <c r="B109" t="s">
        <v>607</v>
      </c>
      <c r="C109" t="s">
        <v>474</v>
      </c>
      <c r="D109" t="str">
        <f>HYPERLINK("https://www.procyclingstats.com/search.php?term=SLOVENIA+NATIONAL+TEAM","Cerca su PCS")</f>
        <v>Cerca su PCS</v>
      </c>
    </row>
    <row r="110" spans="1:4">
      <c r="A110">
        <v>127</v>
      </c>
      <c r="B110" t="s">
        <v>608</v>
      </c>
      <c r="C110" t="s">
        <v>474</v>
      </c>
      <c r="D110" t="str">
        <f>HYPERLINK("https://www.procyclingstats.com/search.php?term=ACADEMY+U19+REGION+SUD","Cerca su PCS")</f>
        <v>Cerca su PCS</v>
      </c>
    </row>
    <row r="111" spans="1:4">
      <c r="A111">
        <v>128</v>
      </c>
      <c r="B111" t="s">
        <v>609</v>
      </c>
      <c r="C111" t="s">
        <v>474</v>
      </c>
      <c r="D111" t="str">
        <f>HYPERLINK("https://www.procyclingstats.com/search.php?term=NEUTRAL+TEAM","Cerca su PCS")</f>
        <v>Cerca su PCS</v>
      </c>
    </row>
    <row r="112" spans="1:4">
      <c r="A112">
        <v>129</v>
      </c>
      <c r="B112" t="s">
        <v>610</v>
      </c>
      <c r="C112" t="s">
        <v>474</v>
      </c>
      <c r="D112" t="str">
        <f>HYPERLINK("https://www.procyclingstats.com/search.php?term=OVERALL+TRE+COLLI+CYCLING+TEAM","Cerca su PCS")</f>
        <v>Cerca su PCS</v>
      </c>
    </row>
    <row r="113" spans="1:4">
      <c r="A113">
        <v>130</v>
      </c>
      <c r="B113" t="s">
        <v>611</v>
      </c>
      <c r="C113" t="s">
        <v>474</v>
      </c>
      <c r="D113" t="str">
        <f>HYPERLINK("https://www.procyclingstats.com/search.php?term=PC+BAIX+EBRE+TORTOSA","Cerca su PCS")</f>
        <v>Cerca su PCS</v>
      </c>
    </row>
    <row r="114" spans="1:4">
      <c r="A114">
        <v>131</v>
      </c>
      <c r="B114" t="s">
        <v>612</v>
      </c>
      <c r="C114" t="s">
        <v>474</v>
      </c>
      <c r="D114" t="str">
        <f>HYPERLINK("https://www.procyclingstats.com/search.php?term=BMX+CLUB+SARRIANS","Cerca su PCS")</f>
        <v>Cerca su PCS</v>
      </c>
    </row>
    <row r="115" spans="1:4">
      <c r="A115">
        <v>132</v>
      </c>
      <c r="B115" t="s">
        <v>613</v>
      </c>
      <c r="C115" t="s">
        <v>474</v>
      </c>
      <c r="D115" t="str">
        <f>HYPERLINK("https://www.procyclingstats.com/search.php?term=TEAM+ESSERE","Cerca su PCS")</f>
        <v>Cerca su PCS</v>
      </c>
    </row>
    <row r="116" spans="1:4">
      <c r="A116">
        <v>133</v>
      </c>
      <c r="B116" t="s">
        <v>614</v>
      </c>
      <c r="C116" t="s">
        <v>474</v>
      </c>
      <c r="D116" t="str">
        <f>HYPERLINK("https://www.procyclingstats.com/search.php?term=PRO.GI.T.+CYCLING+TEAM","Cerca su PCS")</f>
        <v>Cerca su PCS</v>
      </c>
    </row>
    <row r="117" spans="1:4">
      <c r="A117">
        <v>134</v>
      </c>
      <c r="B117" t="s">
        <v>615</v>
      </c>
      <c r="C117" t="s">
        <v>474</v>
      </c>
      <c r="D117" t="str">
        <f>HYPERLINK("https://www.procyclingstats.com/search.php?term=ARKITANO+MTB+CLUB","Cerca su PCS")</f>
        <v>Cerca su PCS</v>
      </c>
    </row>
    <row r="118" spans="1:4">
      <c r="A118">
        <v>135</v>
      </c>
      <c r="B118" t="s">
        <v>616</v>
      </c>
      <c r="C118" t="s">
        <v>474</v>
      </c>
      <c r="D118" t="str">
        <f>HYPERLINK("https://www.procyclingstats.com/search.php?term=ENERGY+TEAM+A.S.D.","Cerca su PCS")</f>
        <v>Cerca su PCS</v>
      </c>
    </row>
    <row r="119" spans="1:4">
      <c r="A119">
        <v>136</v>
      </c>
      <c r="B119" t="s">
        <v>617</v>
      </c>
      <c r="C119" t="s">
        <v>474</v>
      </c>
      <c r="D119" t="str">
        <f>HYPERLINK("https://www.procyclingstats.com/search.php?term=RKC+ROMAN+KREUZIGER","Cerca su PCS")</f>
        <v>Cerca su PCS</v>
      </c>
    </row>
    <row r="120" spans="1:4">
      <c r="A120">
        <v>137</v>
      </c>
      <c r="B120" t="s">
        <v>618</v>
      </c>
      <c r="C120" t="s">
        <v>474</v>
      </c>
      <c r="D120" t="str">
        <f>HYPERLINK("https://www.procyclingstats.com/search.php?term=AUSTRIA","Cerca su PCS")</f>
        <v>Cerca su PCS</v>
      </c>
    </row>
    <row r="121" spans="1:4">
      <c r="A121">
        <v>138</v>
      </c>
      <c r="B121" t="s">
        <v>619</v>
      </c>
      <c r="C121" t="s">
        <v>474</v>
      </c>
      <c r="D121" t="str">
        <f>HYPERLINK("https://www.procyclingstats.com/search.php?term=CANADA","Cerca su PCS")</f>
        <v>Cerca su PCS</v>
      </c>
    </row>
    <row r="122" spans="1:4">
      <c r="A122">
        <v>139</v>
      </c>
      <c r="B122" t="s">
        <v>620</v>
      </c>
      <c r="C122" t="s">
        <v>474</v>
      </c>
      <c r="D122" t="str">
        <f>HYPERLINK("https://www.procyclingstats.com/search.php?term=FRANCIA","Cerca su PCS")</f>
        <v>Cerca su PCS</v>
      </c>
    </row>
    <row r="123" spans="1:4">
      <c r="A123">
        <v>140</v>
      </c>
      <c r="B123" t="s">
        <v>621</v>
      </c>
      <c r="C123" t="s">
        <v>474</v>
      </c>
      <c r="D123" t="str">
        <f>HYPERLINK("https://www.procyclingstats.com/search.php?term=STATI+UNITI","Cerca su PCS")</f>
        <v>Cerca su PCS</v>
      </c>
    </row>
    <row r="124" spans="1:4">
      <c r="A124">
        <v>141</v>
      </c>
      <c r="B124" t="s">
        <v>622</v>
      </c>
      <c r="C124" t="s">
        <v>474</v>
      </c>
      <c r="D124" t="str">
        <f>HYPERLINK("https://www.procyclingstats.com/search.php?term=REPUBBLICA+CECA","Cerca su PCS")</f>
        <v>Cerca su PCS</v>
      </c>
    </row>
    <row r="125" spans="1:4">
      <c r="A125">
        <v>142</v>
      </c>
      <c r="B125" t="s">
        <v>623</v>
      </c>
      <c r="C125" t="s">
        <v>474</v>
      </c>
      <c r="D125" t="str">
        <f>HYPERLINK("https://www.procyclingstats.com/search.php?term=GERMANIA","Cerca su PCS")</f>
        <v>Cerca su PCS</v>
      </c>
    </row>
    <row r="126" spans="1:4">
      <c r="A126">
        <v>143</v>
      </c>
      <c r="B126" t="s">
        <v>624</v>
      </c>
      <c r="C126" t="s">
        <v>474</v>
      </c>
      <c r="D126" t="str">
        <f>HYPERLINK("https://www.procyclingstats.com/search.php?term=S.C.+VALLE+SERIANA+-+CENE+A.S.D.","Cerca su PCS")</f>
        <v>Cerca su PCS</v>
      </c>
    </row>
    <row r="127" spans="1:4">
      <c r="A127">
        <v>144</v>
      </c>
      <c r="B127" t="s">
        <v>625</v>
      </c>
      <c r="C127" t="s">
        <v>474</v>
      </c>
      <c r="D127" t="str">
        <f>HYPERLINK("https://www.procyclingstats.com/search.php?term=ESTONIA","Cerca su PCS")</f>
        <v>Cerca su PCS</v>
      </c>
    </row>
    <row r="128" spans="1:4">
      <c r="A128">
        <v>145</v>
      </c>
      <c r="B128" t="s">
        <v>626</v>
      </c>
      <c r="C128" t="s">
        <v>474</v>
      </c>
      <c r="D128" t="str">
        <f>HYPERLINK("https://www.procyclingstats.com/search.php?term=DANIMARCA","Cerca su PCS")</f>
        <v>Cerca su PCS</v>
      </c>
    </row>
    <row r="129" spans="1:4">
      <c r="A129">
        <v>146</v>
      </c>
      <c r="B129" t="s">
        <v>627</v>
      </c>
      <c r="C129" t="s">
        <v>474</v>
      </c>
      <c r="D129" t="str">
        <f>HYPERLINK("https://www.procyclingstats.com/search.php?term=LETTONIA","Cerca su PCS")</f>
        <v>Cerca su PCS</v>
      </c>
    </row>
    <row r="130" spans="1:4">
      <c r="A130">
        <v>147</v>
      </c>
      <c r="B130" t="s">
        <v>628</v>
      </c>
      <c r="C130" t="s">
        <v>474</v>
      </c>
      <c r="D130" t="str">
        <f>HYPERLINK("https://www.procyclingstats.com/search.php?term=LUSSEMBURGO","Cerca su PCS")</f>
        <v>Cerca su PCS</v>
      </c>
    </row>
    <row r="131" spans="1:4">
      <c r="A131">
        <v>148</v>
      </c>
      <c r="B131" t="s">
        <v>629</v>
      </c>
      <c r="C131" t="s">
        <v>474</v>
      </c>
      <c r="D131" t="str">
        <f>HYPERLINK("https://www.procyclingstats.com/search.php?term=IRLANDA","Cerca su PCS")</f>
        <v>Cerca su PCS</v>
      </c>
    </row>
    <row r="132" spans="1:4">
      <c r="A132">
        <v>149</v>
      </c>
      <c r="B132" t="s">
        <v>630</v>
      </c>
      <c r="C132" t="s">
        <v>474</v>
      </c>
      <c r="D132" t="str">
        <f>HYPERLINK("https://www.procyclingstats.com/search.php?term=SVEZIA","Cerca su PCS")</f>
        <v>Cerca su PCS</v>
      </c>
    </row>
    <row r="133" spans="1:4">
      <c r="A133">
        <v>150</v>
      </c>
      <c r="B133" t="s">
        <v>631</v>
      </c>
      <c r="C133" t="s">
        <v>474</v>
      </c>
      <c r="D133" t="str">
        <f>HYPERLINK("https://www.procyclingstats.com/search.php?term=UCRAINA","Cerca su PCS")</f>
        <v>Cerca su PCS</v>
      </c>
    </row>
    <row r="134" spans="1:4">
      <c r="A134">
        <v>151</v>
      </c>
      <c r="B134" t="s">
        <v>632</v>
      </c>
      <c r="C134" t="s">
        <v>474</v>
      </c>
      <c r="D134" t="str">
        <f>HYPERLINK("https://www.procyclingstats.com/search.php?term=SOUDAL+QUICK-STEP+JUNIOR+TEAM","Cerca su PCS")</f>
        <v>Cerca su PCS</v>
      </c>
    </row>
    <row r="135" spans="1:4">
      <c r="A135">
        <v>152</v>
      </c>
      <c r="B135" t="s">
        <v>633</v>
      </c>
      <c r="C135" t="s">
        <v>474</v>
      </c>
      <c r="D135" t="str">
        <f>HYPERLINK("https://www.procyclingstats.com/search.php?term=GI+ESSE+PRO+CYCLING","Cerca su PCS")</f>
        <v>Cerca su PCS</v>
      </c>
    </row>
    <row r="136" spans="1:4">
      <c r="A136">
        <v>153</v>
      </c>
      <c r="B136" t="s">
        <v>634</v>
      </c>
      <c r="C136" t="s">
        <v>474</v>
      </c>
      <c r="D136" t="str">
        <f>HYPERLINK("https://www.procyclingstats.com/search.php?term=PETROLIKE","Cerca su PCS")</f>
        <v>Cerca su PCS</v>
      </c>
    </row>
    <row r="137" spans="1:4">
      <c r="A137">
        <v>154</v>
      </c>
      <c r="B137" t="s">
        <v>635</v>
      </c>
      <c r="C137" t="s">
        <v>474</v>
      </c>
      <c r="D137" t="str">
        <f>HYPERLINK("https://www.procyclingstats.com/search.php?term=NEXETIS+TEAM","Cerca su PCS")</f>
        <v>Cerca su PCS</v>
      </c>
    </row>
    <row r="138" spans="1:4">
      <c r="A138">
        <v>155</v>
      </c>
      <c r="B138" t="s">
        <v>636</v>
      </c>
      <c r="C138" t="s">
        <v>474</v>
      </c>
      <c r="D138" t="str">
        <f>HYPERLINK("https://www.procyclingstats.com/search.php?term=UAE+DEVELOPMENT+TEAM","Cerca su PCS")</f>
        <v>Cerca su PCS</v>
      </c>
    </row>
    <row r="139" spans="1:4">
      <c r="A139">
        <v>156</v>
      </c>
      <c r="B139" t="s">
        <v>637</v>
      </c>
      <c r="C139" t="s">
        <v>474</v>
      </c>
      <c r="D139" t="str">
        <f>HYPERLINK("https://www.procyclingstats.com/search.php?term=NAZIONALE+PARALIMPICA","Cerca su PCS")</f>
        <v>Cerca su PCS</v>
      </c>
    </row>
    <row r="140" spans="1:4">
      <c r="A140">
        <v>157</v>
      </c>
      <c r="B140" t="s">
        <v>638</v>
      </c>
      <c r="C140" t="s">
        <v>474</v>
      </c>
      <c r="D140" t="str">
        <f>HYPERLINK("https://www.procyclingstats.com/search.php?term=U.C.+PREGNANA","Cerca su PCS")</f>
        <v>Cerca su PCS</v>
      </c>
    </row>
    <row r="141" spans="1:4">
      <c r="A141">
        <v>158</v>
      </c>
      <c r="B141" t="s">
        <v>639</v>
      </c>
      <c r="C141" t="s">
        <v>474</v>
      </c>
      <c r="D141" t="str">
        <f>HYPERLINK("https://www.procyclingstats.com/search.php?term=TEAM+MAZZOLA+P.G.C.+U23","Cerca su PCS")</f>
        <v>Cerca su PCS</v>
      </c>
    </row>
    <row r="142" spans="1:4">
      <c r="A142">
        <v>159</v>
      </c>
      <c r="B142" t="s">
        <v>640</v>
      </c>
      <c r="C142" t="s">
        <v>474</v>
      </c>
      <c r="D142" t="str">
        <f>HYPERLINK("https://www.procyclingstats.com/search.php?term=GIFU+DAIICHI+HIGH+SCHOOL","Cerca su PCS")</f>
        <v>Cerca su PCS</v>
      </c>
    </row>
    <row r="143" spans="1:4">
      <c r="A143">
        <v>160</v>
      </c>
      <c r="B143" t="s">
        <v>641</v>
      </c>
      <c r="C143" t="s">
        <v>474</v>
      </c>
      <c r="D143" t="str">
        <f>HYPERLINK("https://www.procyclingstats.com/search.php?term=A.S.D.+U.C.+PISTOIESE+TEAM","Cerca su PCS")</f>
        <v>Cerca su PCS</v>
      </c>
    </row>
    <row r="144" spans="1:4">
      <c r="A144">
        <v>161</v>
      </c>
      <c r="B144" t="s">
        <v>642</v>
      </c>
      <c r="C144" t="s">
        <v>474</v>
      </c>
      <c r="D144" t="str">
        <f>HYPERLINK("https://www.procyclingstats.com/search.php?term=CANNIBAL+BAHRAIN+VICTORIUS","Cerca su PCS")</f>
        <v>Cerca su PCS</v>
      </c>
    </row>
    <row r="145" spans="1:4">
      <c r="A145">
        <v>162</v>
      </c>
      <c r="B145" t="s">
        <v>643</v>
      </c>
      <c r="C145" t="s">
        <v>474</v>
      </c>
      <c r="D145" t="str">
        <f>HYPERLINK("https://www.procyclingstats.com/search.php?term=AVC+AIX+EN+PROVENCE","Cerca su PCS")</f>
        <v>Cerca su PCS</v>
      </c>
    </row>
    <row r="146" spans="1:4">
      <c r="A146">
        <v>163</v>
      </c>
      <c r="B146" t="s">
        <v>644</v>
      </c>
      <c r="C146" t="s">
        <v>474</v>
      </c>
      <c r="D146" t="str">
        <f>HYPERLINK("https://www.procyclingstats.com/search.php?term=TEAM+PROMOTECH+-+MG+K-VIS","Cerca su PCS")</f>
        <v>Cerca su PCS</v>
      </c>
    </row>
    <row r="147" spans="1:4">
      <c r="A147">
        <v>164</v>
      </c>
      <c r="B147" t="s">
        <v>645</v>
      </c>
      <c r="C147" t="s">
        <v>474</v>
      </c>
      <c r="D147" t="str">
        <f>HYPERLINK("https://www.procyclingstats.com/search.php?term=MENTECORPO+TEAM","Cerca su PCS")</f>
        <v>Cerca su PCS</v>
      </c>
    </row>
    <row r="148" spans="1:4">
      <c r="A148">
        <v>165</v>
      </c>
      <c r="B148" t="s">
        <v>646</v>
      </c>
      <c r="C148" t="s">
        <v>474</v>
      </c>
      <c r="D148" t="str">
        <f>HYPERLINK("https://www.procyclingstats.com/search.php?term=CRABBE+DSTNY","Cerca su PCS")</f>
        <v>Cerca su PCS</v>
      </c>
    </row>
    <row r="149" spans="1:4">
      <c r="A149">
        <v>166</v>
      </c>
      <c r="B149" t="s">
        <v>647</v>
      </c>
      <c r="C149" t="s">
        <v>474</v>
      </c>
      <c r="D149" t="str">
        <f>HYPERLINK("https://www.procyclingstats.com/search.php?term=GRUPPO+SPORTIVO+PARMENSE","Cerca su PCS")</f>
        <v>Cerca su PCS</v>
      </c>
    </row>
    <row r="150" spans="1:4">
      <c r="A150">
        <v>167</v>
      </c>
      <c r="B150" t="s">
        <v>648</v>
      </c>
      <c r="C150" t="s">
        <v>474</v>
      </c>
      <c r="D150" t="str">
        <f>HYPERLINK("https://www.procyclingstats.com/search.php?term=AIRTOX+-+CARL+RAS","Cerca su PCS")</f>
        <v>Cerca su PCS</v>
      </c>
    </row>
    <row r="151" spans="1:4">
      <c r="A151">
        <v>168</v>
      </c>
      <c r="B151" t="s">
        <v>649</v>
      </c>
      <c r="C151" t="s">
        <v>474</v>
      </c>
      <c r="D151" t="str">
        <f>HYPERLINK("https://www.procyclingstats.com/search.php?term=GROUWELS+-+WATERSLEY+R&amp;D","Cerca su PCS")</f>
        <v>Cerca su PCS</v>
      </c>
    </row>
    <row r="152" spans="1:4">
      <c r="A152">
        <v>169</v>
      </c>
      <c r="B152" t="s">
        <v>650</v>
      </c>
      <c r="C152" t="s">
        <v>474</v>
      </c>
      <c r="D152" t="str">
        <f>HYPERLINK("https://www.procyclingstats.com/search.php?term=DAL+RISO+AL+ROSA","Cerca su PCS")</f>
        <v>Cerca su PCS</v>
      </c>
    </row>
    <row r="153" spans="1:4">
      <c r="A153">
        <v>170</v>
      </c>
      <c r="B153" t="s">
        <v>651</v>
      </c>
      <c r="C153" t="s">
        <v>474</v>
      </c>
      <c r="D153" t="str">
        <f>HYPERLINK("https://www.procyclingstats.com/search.php?term=POLISH+CYCLING+FEDERATION","Cerca su PCS")</f>
        <v>Cerca su PCS</v>
      </c>
    </row>
    <row r="154" spans="1:4">
      <c r="A154">
        <v>171</v>
      </c>
      <c r="B154" t="s">
        <v>652</v>
      </c>
      <c r="C154" t="s">
        <v>474</v>
      </c>
      <c r="D154" t="str">
        <f>HYPERLINK("https://www.procyclingstats.com/search.php?term=ASD+TEAM+MOOVEO","Cerca su PCS")</f>
        <v>Cerca su PCS</v>
      </c>
    </row>
    <row r="155" spans="1:4">
      <c r="A155">
        <v>172</v>
      </c>
      <c r="B155" t="s">
        <v>653</v>
      </c>
      <c r="C155" t="s">
        <v>474</v>
      </c>
      <c r="D155" t="str">
        <f>HYPERLINK("https://www.procyclingstats.com/search.php?term=VPT+WHY+SPORT","Cerca su PCS")</f>
        <v>Cerca su PCS</v>
      </c>
    </row>
    <row r="156" spans="1:4">
      <c r="A156">
        <v>173</v>
      </c>
      <c r="B156" t="s">
        <v>654</v>
      </c>
      <c r="C156" t="s">
        <v>474</v>
      </c>
      <c r="D156" t="str">
        <f>HYPERLINK("https://www.procyclingstats.com/search.php?term=TEAM+GAIAPLAST+BIBANESE","Cerca su PCS")</f>
        <v>Cerca su PCS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Atleti non trovati</vt:lpstr>
      <vt:lpstr>Trovati nel frattempo</vt:lpstr>
      <vt:lpstr>Team non trovati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vezza</cp:lastModifiedBy>
  <dcterms:created xsi:type="dcterms:W3CDTF">2026-07-15T15:21:00Z</dcterms:created>
  <dcterms:modified xsi:type="dcterms:W3CDTF">2026-07-15T16:55:29Z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28846B682DCF46DE84DBE042A4346C17_12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
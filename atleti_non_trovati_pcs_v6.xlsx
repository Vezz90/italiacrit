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trovati P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34" customWidth="1" min="4" max="4"/>
    <col width="16" customWidth="1" min="5" max="5"/>
    <col width="46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Nome (FCI)</t>
        </is>
      </c>
      <c r="C1" s="1" t="inlineStr">
        <is>
          <t>Team (FCI)</t>
        </is>
      </c>
      <c r="D1" s="1" t="inlineStr">
        <is>
          <t>Slug provati dallo scraper</t>
        </is>
      </c>
      <c r="E1" s="1" t="inlineStr">
        <is>
          <t>Cerca su PCS</t>
        </is>
      </c>
      <c r="F1" s="1" t="inlineStr">
        <is>
          <t>Link profilo trovato</t>
        </is>
      </c>
      <c r="G1" s="1" t="inlineStr">
        <is>
          <t>Note</t>
        </is>
      </c>
    </row>
    <row r="2">
      <c r="A2" t="n">
        <v>1</v>
      </c>
      <c r="B2" t="inlineStr">
        <is>
          <t>BUDA SIMONE</t>
        </is>
      </c>
      <c r="C2" t="inlineStr">
        <is>
          <t>SOLME - OLMO - ARVEDI</t>
        </is>
      </c>
      <c r="D2" t="inlineStr">
        <is>
          <t>simone-buda</t>
        </is>
      </c>
      <c r="E2">
        <f>HYPERLINK("https://www.procyclingstats.com/search.php?term=BUDA+SIMONE","Cerca su PCS")</f>
        <v/>
      </c>
      <c r="F2" t="inlineStr"/>
      <c r="G2" t="inlineStr"/>
    </row>
    <row r="3">
      <c r="A3" t="n">
        <v>2</v>
      </c>
      <c r="B3" t="inlineStr">
        <is>
          <t>ROCCELLA MARCO</t>
        </is>
      </c>
      <c r="C3" t="inlineStr">
        <is>
          <t>MULTICAR GRUPPO AMARU'</t>
        </is>
      </c>
      <c r="D3" t="inlineStr">
        <is>
          <t>marco-roccella</t>
        </is>
      </c>
      <c r="E3">
        <f>HYPERLINK("https://www.procyclingstats.com/search.php?term=ROCCELLA+MARCO","Cerca su PCS")</f>
        <v/>
      </c>
      <c r="F3" t="inlineStr"/>
      <c r="G3" t="inlineStr"/>
    </row>
    <row r="4">
      <c r="A4" t="n">
        <v>3</v>
      </c>
      <c r="B4" t="inlineStr">
        <is>
          <t>FRATICELLI LUCA</t>
        </is>
      </c>
      <c r="C4" t="inlineStr">
        <is>
          <t>VEGA VITALCARE DYNATEK</t>
        </is>
      </c>
      <c r="D4" t="inlineStr">
        <is>
          <t>luca-fraticelli</t>
        </is>
      </c>
      <c r="E4">
        <f>HYPERLINK("https://www.procyclingstats.com/search.php?term=FRATICELLI+LUCA","Cerca su PCS")</f>
        <v/>
      </c>
      <c r="F4" t="inlineStr"/>
      <c r="G4" t="inlineStr"/>
    </row>
    <row r="5">
      <c r="A5" t="n">
        <v>4</v>
      </c>
      <c r="B5" t="inlineStr">
        <is>
          <t>GERACI SALVATORE</t>
        </is>
      </c>
      <c r="C5" t="inlineStr">
        <is>
          <t>MULTICAR GRUPPO AMARU'</t>
        </is>
      </c>
      <c r="D5" t="inlineStr">
        <is>
          <t>salvatore-geraci</t>
        </is>
      </c>
      <c r="E5">
        <f>HYPERLINK("https://www.procyclingstats.com/search.php?term=GERACI+SALVATORE","Cerca su PCS")</f>
        <v/>
      </c>
      <c r="F5" t="inlineStr"/>
      <c r="G5" t="inlineStr"/>
    </row>
    <row r="6">
      <c r="A6" t="n">
        <v>5</v>
      </c>
      <c r="B6" t="inlineStr">
        <is>
          <t>MISHANKOV MAKSIM</t>
        </is>
      </c>
      <c r="C6" t="inlineStr">
        <is>
          <t>MG K-VIS COSTRUZIONI E AMBIENTE</t>
        </is>
      </c>
      <c r="D6" t="inlineStr">
        <is>
          <t>maksim-mishankov</t>
        </is>
      </c>
      <c r="E6">
        <f>HYPERLINK("https://www.procyclingstats.com/search.php?term=MISHANKOV+MAKSIM","Cerca su PCS")</f>
        <v/>
      </c>
      <c r="F6" t="inlineStr"/>
      <c r="G6" t="inlineStr"/>
    </row>
    <row r="7">
      <c r="A7" t="n">
        <v>6</v>
      </c>
      <c r="B7" t="inlineStr">
        <is>
          <t>ZOZULIA ANDRII</t>
        </is>
      </c>
      <c r="C7" t="inlineStr">
        <is>
          <t>UCRAINA</t>
        </is>
      </c>
      <c r="D7" t="inlineStr">
        <is>
          <t>andrii-zozulia</t>
        </is>
      </c>
      <c r="E7">
        <f>HYPERLINK("https://www.procyclingstats.com/search.php?term=ZOZULIA+ANDRII","Cerca su PCS")</f>
        <v/>
      </c>
      <c r="F7" t="inlineStr"/>
      <c r="G7" t="inlineStr"/>
    </row>
    <row r="8">
      <c r="A8" t="n">
        <v>7</v>
      </c>
      <c r="B8" t="inlineStr">
        <is>
          <t>UMBA LOPEZ ABNER SANTIAGO</t>
        </is>
      </c>
      <c r="C8" t="inlineStr">
        <is>
          <t>SOLUTION TECH NIPPO RALI</t>
        </is>
      </c>
      <c r="D8" t="inlineStr">
        <is>
          <t>lopez-abner-santiago-umba</t>
        </is>
      </c>
      <c r="E8">
        <f>HYPERLINK("https://www.procyclingstats.com/search.php?term=UMBA+LOPEZ+ABNER+SANTIAGO","Cerca su PCS")</f>
        <v/>
      </c>
      <c r="F8" t="inlineStr"/>
      <c r="G8" t="inlineStr"/>
    </row>
    <row r="9">
      <c r="A9" t="n">
        <v>8</v>
      </c>
      <c r="B9" t="inlineStr">
        <is>
          <t>ATTOLINI LUCA</t>
        </is>
      </c>
      <c r="C9" t="inlineStr">
        <is>
          <t>MG K-VIS COSTRUZIONI E AMBIENTE</t>
        </is>
      </c>
      <c r="D9" t="inlineStr">
        <is>
          <t>luca-attolini</t>
        </is>
      </c>
      <c r="E9">
        <f>HYPERLINK("https://www.procyclingstats.com/search.php?term=ATTOLINI+LUCA","Cerca su PCS")</f>
        <v/>
      </c>
      <c r="F9" t="inlineStr"/>
      <c r="G9" t="inlineStr"/>
    </row>
    <row r="10">
      <c r="A10" t="n">
        <v>9</v>
      </c>
      <c r="B10" t="inlineStr">
        <is>
          <t>DOVESI MANUEL</t>
        </is>
      </c>
      <c r="C10" t="inlineStr">
        <is>
          <t>GOODSHOP YOYOGURT</t>
        </is>
      </c>
      <c r="D10" t="inlineStr">
        <is>
          <t>manuel-dovesi</t>
        </is>
      </c>
      <c r="E10">
        <f>HYPERLINK("https://www.procyclingstats.com/search.php?term=DOVESI+MANUEL","Cerca su PCS")</f>
        <v/>
      </c>
      <c r="F10" t="inlineStr"/>
      <c r="G10" t="inlineStr"/>
    </row>
    <row r="11">
      <c r="A11" t="n">
        <v>10</v>
      </c>
      <c r="B11" t="inlineStr">
        <is>
          <t>SHTIN VALERII</t>
        </is>
      </c>
      <c r="C11" t="inlineStr">
        <is>
          <t>VEGA VITALCARE DYNATEK</t>
        </is>
      </c>
      <c r="D11" t="inlineStr">
        <is>
          <t>valerii-shtin</t>
        </is>
      </c>
      <c r="E11">
        <f>HYPERLINK("https://www.procyclingstats.com/search.php?term=SHTIN+VALERII","Cerca su PCS")</f>
        <v/>
      </c>
      <c r="F11" t="inlineStr"/>
      <c r="G11" t="inlineStr"/>
    </row>
    <row r="12">
      <c r="A12" t="n">
        <v>11</v>
      </c>
      <c r="B12" t="inlineStr">
        <is>
          <t>ANNIBALLI LORENZO</t>
        </is>
      </c>
      <c r="C12" t="inlineStr">
        <is>
          <t>SOLME - OLMO - ARVEDI</t>
        </is>
      </c>
      <c r="D12" t="inlineStr">
        <is>
          <t>lorenzo-anniballi</t>
        </is>
      </c>
      <c r="E12">
        <f>HYPERLINK("https://www.procyclingstats.com/search.php?term=ANNIBALLI+LORENZO","Cerca su PCS")</f>
        <v/>
      </c>
      <c r="F12" t="inlineStr"/>
      <c r="G12" t="inlineStr"/>
    </row>
    <row r="13">
      <c r="A13" t="n">
        <v>12</v>
      </c>
      <c r="B13" t="inlineStr">
        <is>
          <t>PROSANDEEV IAROSLAV</t>
        </is>
      </c>
      <c r="C13" t="inlineStr">
        <is>
          <t>PC BAIX EBRE TORTOSA</t>
        </is>
      </c>
      <c r="D13" t="inlineStr">
        <is>
          <t>iaroslav-prosandeev</t>
        </is>
      </c>
      <c r="E13">
        <f>HYPERLINK("https://www.procyclingstats.com/search.php?term=PROSANDEEV+IAROSLAV","Cerca su PCS")</f>
        <v/>
      </c>
      <c r="F13" t="inlineStr"/>
      <c r="G13" t="inlineStr"/>
    </row>
    <row r="14">
      <c r="A14" t="n">
        <v>13</v>
      </c>
      <c r="B14" t="inlineStr">
        <is>
          <t>MARETTA GABRIELE</t>
        </is>
      </c>
      <c r="C14" t="inlineStr">
        <is>
          <t>MADONE-TEAM BIKE SICILIA</t>
        </is>
      </c>
      <c r="D14" t="inlineStr">
        <is>
          <t>gabriele-maretta</t>
        </is>
      </c>
      <c r="E14">
        <f>HYPERLINK("https://www.procyclingstats.com/search.php?term=MARETTA+GABRIELE","Cerca su PCS")</f>
        <v/>
      </c>
      <c r="F14" t="inlineStr"/>
      <c r="G14" t="inlineStr"/>
    </row>
    <row r="15">
      <c r="A15" t="n">
        <v>14</v>
      </c>
      <c r="B15" t="inlineStr">
        <is>
          <t>MARCHIONE GIACOMO</t>
        </is>
      </c>
      <c r="C15" t="inlineStr">
        <is>
          <t>MADONE-TEAM BIKE SICILIA</t>
        </is>
      </c>
      <c r="D15" t="inlineStr">
        <is>
          <t>giacomo-marchione</t>
        </is>
      </c>
      <c r="E15">
        <f>HYPERLINK("https://www.procyclingstats.com/search.php?term=MARCHIONE+GIACOMO","Cerca su PCS")</f>
        <v/>
      </c>
      <c r="F15" t="inlineStr"/>
      <c r="G15" t="inlineStr"/>
    </row>
    <row r="16">
      <c r="A16" t="n">
        <v>15</v>
      </c>
      <c r="B16" t="inlineStr">
        <is>
          <t>SCHEMBARI FLAVIO</t>
        </is>
      </c>
      <c r="C16" t="inlineStr">
        <is>
          <t>MULTICAR GRUPPO AMARU'</t>
        </is>
      </c>
      <c r="D16" t="inlineStr">
        <is>
          <t>flavio-schembari</t>
        </is>
      </c>
      <c r="E16">
        <f>HYPERLINK("https://www.procyclingstats.com/search.php?term=SCHEMBARI+FLAVIO","Cerca su PCS")</f>
        <v/>
      </c>
      <c r="F16" t="inlineStr"/>
      <c r="G16" t="inlineStr"/>
    </row>
    <row r="17">
      <c r="A17" t="n">
        <v>16</v>
      </c>
      <c r="B17" t="inlineStr">
        <is>
          <t>ESTUPINAN VARGAS KEVIN</t>
        </is>
      </c>
      <c r="C17" t="inlineStr">
        <is>
          <t>U.C.MONACO</t>
        </is>
      </c>
      <c r="D17" t="inlineStr">
        <is>
          <t>kevin-estupinan-vargas</t>
        </is>
      </c>
      <c r="E17">
        <f>HYPERLINK("https://www.procyclingstats.com/search.php?term=ESTUPINAN+VARGAS+KEVIN","Cerca su PCS")</f>
        <v/>
      </c>
      <c r="F17" t="inlineStr"/>
      <c r="G17" t="inlineStr"/>
    </row>
    <row r="18">
      <c r="A18" t="n">
        <v>17</v>
      </c>
      <c r="B18" t="inlineStr">
        <is>
          <t>SAVEKIN ILIA</t>
        </is>
      </c>
      <c r="C18" t="inlineStr">
        <is>
          <t>NEUTRAL TEAM</t>
        </is>
      </c>
      <c r="D18" t="inlineStr">
        <is>
          <t>ilia-savekin</t>
        </is>
      </c>
      <c r="E18">
        <f>HYPERLINK("https://www.procyclingstats.com/search.php?term=SAVEKIN+ILIA","Cerca su PCS")</f>
        <v/>
      </c>
      <c r="F18" t="inlineStr"/>
      <c r="G18" t="inlineStr"/>
    </row>
    <row r="19">
      <c r="A19" t="n">
        <v>18</v>
      </c>
      <c r="B19" t="inlineStr">
        <is>
          <t>PARETA SALA ROGER</t>
        </is>
      </c>
      <c r="C19" t="inlineStr">
        <is>
          <t>MOVISTAR TEAM ACADEMY</t>
        </is>
      </c>
      <c r="D19" t="inlineStr">
        <is>
          <t>roger-pareta-sala</t>
        </is>
      </c>
      <c r="E19">
        <f>HYPERLINK("https://www.procyclingstats.com/search.php?term=PARETA+SALA+ROGER","Cerca su PCS")</f>
        <v/>
      </c>
      <c r="F19" t="inlineStr"/>
      <c r="G19" t="inlineStr"/>
    </row>
    <row r="20">
      <c r="A20" t="n">
        <v>19</v>
      </c>
      <c r="B20" t="inlineStr">
        <is>
          <t>VAN DEN WIJNGAERT MATTEO</t>
        </is>
      </c>
      <c r="C20" t="inlineStr">
        <is>
          <t>UAE TEAM EMIRATES GEN-Z</t>
        </is>
      </c>
      <c r="D20" t="inlineStr">
        <is>
          <t>matteo-van-den-wijngaert</t>
        </is>
      </c>
      <c r="E20">
        <f>HYPERLINK("https://www.procyclingstats.com/search.php?term=VAN+DEN+WIJNGAERT+MATTEO","Cerca su PCS")</f>
        <v/>
      </c>
      <c r="F20" t="inlineStr"/>
      <c r="G20" t="inlineStr"/>
    </row>
    <row r="21">
      <c r="A21" t="n">
        <v>20</v>
      </c>
      <c r="B21" t="inlineStr">
        <is>
          <t>PRIETO DE LUNA JOSE JUAN</t>
        </is>
      </c>
      <c r="C21" t="inlineStr">
        <is>
          <t>PETROLIKE</t>
        </is>
      </c>
      <c r="D21" t="inlineStr">
        <is>
          <t>jose-juan-prieto-de-luna</t>
        </is>
      </c>
      <c r="E21">
        <f>HYPERLINK("https://www.procyclingstats.com/search.php?term=PRIETO+DE+LUNA+JOSE+JUAN","Cerca su PCS")</f>
        <v/>
      </c>
      <c r="F21" t="inlineStr"/>
      <c r="G21" t="inlineStr"/>
    </row>
    <row r="22">
      <c r="A22" t="n">
        <v>21</v>
      </c>
      <c r="B22" t="inlineStr">
        <is>
          <t>PAVI DEGL'INNOCENTI GIULIO</t>
        </is>
      </c>
      <c r="C22" t="inlineStr">
        <is>
          <t>BELTRAMI TSA TRE COLLI</t>
        </is>
      </c>
      <c r="D22" t="inlineStr">
        <is>
          <t>degl-innocenti-giulio-pavi</t>
        </is>
      </c>
      <c r="E22">
        <f>HYPERLINK("https://www.procyclingstats.com/search.php?term=PAVI+DEGL'INNOCENTI+GIULIO","Cerca su PCS")</f>
        <v/>
      </c>
      <c r="F22" t="inlineStr"/>
      <c r="G22" t="inlineStr"/>
    </row>
    <row r="23">
      <c r="A23" t="n">
        <v>22</v>
      </c>
      <c r="B23" t="inlineStr">
        <is>
          <t>CHYZHYKOV HMORHII</t>
        </is>
      </c>
      <c r="C23" t="inlineStr">
        <is>
          <t>UCRAINA</t>
        </is>
      </c>
      <c r="D23" t="inlineStr">
        <is>
          <t>hmorhii-chyzhykov</t>
        </is>
      </c>
      <c r="E23">
        <f>HYPERLINK("https://www.procyclingstats.com/search.php?term=CHYZHYKOV+HMORHII","Cerca su PCS")</f>
        <v/>
      </c>
      <c r="F23" t="inlineStr"/>
      <c r="G23" t="inlineStr"/>
    </row>
    <row r="24">
      <c r="A24" t="n">
        <v>23</v>
      </c>
      <c r="B24" t="inlineStr">
        <is>
          <t>ROJAS NARANJO VICENTE RODRIGO ANTONIO</t>
        </is>
      </c>
      <c r="C24" t="inlineStr">
        <is>
          <t>BARDIANI-CSF 7 SABER</t>
        </is>
      </c>
      <c r="D24" t="inlineStr">
        <is>
          <t>naranjo-vicente-rodrigo-antonio-rojas</t>
        </is>
      </c>
      <c r="E24">
        <f>HYPERLINK("https://www.procyclingstats.com/search.php?term=ROJAS+NARANJO+VICENTE+RODRIGO+ANTONIO","Cerca su PCS")</f>
        <v/>
      </c>
      <c r="F24" t="inlineStr"/>
      <c r="G24" t="inlineStr"/>
    </row>
    <row r="25">
      <c r="A25" t="n">
        <v>24</v>
      </c>
      <c r="B25" t="inlineStr">
        <is>
          <t>MAGLI FILIPPO</t>
        </is>
      </c>
      <c r="C25" t="inlineStr">
        <is>
          <t>BARDIANI-CSF 7 SABER</t>
        </is>
      </c>
      <c r="D25" t="inlineStr">
        <is>
          <t>filippo-magli</t>
        </is>
      </c>
      <c r="E25">
        <f>HYPERLINK("https://www.procyclingstats.com/search.php?term=MAGLI+FILIPPO","Cerca su PCS")</f>
        <v/>
      </c>
      <c r="F25" t="inlineStr"/>
      <c r="G25" t="inlineStr"/>
    </row>
    <row r="26">
      <c r="A26" t="n">
        <v>25</v>
      </c>
      <c r="B26" t="inlineStr">
        <is>
          <t>COLES-LYSTER MAGGIE</t>
        </is>
      </c>
      <c r="C26" t="inlineStr">
        <is>
          <t>HUMAN POWERED HEALTH</t>
        </is>
      </c>
      <c r="D26" t="inlineStr">
        <is>
          <t>maggie-coles-lyster</t>
        </is>
      </c>
      <c r="E26">
        <f>HYPERLINK("https://www.procyclingstats.com/search.php?term=COLES-LYSTER+MAGGIE","Cerca su PCS")</f>
        <v/>
      </c>
      <c r="F26" t="inlineStr"/>
      <c r="G26" t="inlineStr"/>
    </row>
    <row r="27">
      <c r="A27" t="n">
        <v>26</v>
      </c>
      <c r="B27" t="inlineStr">
        <is>
          <t>NIEWIADOMA KASIA</t>
        </is>
      </c>
      <c r="C27" t="inlineStr">
        <is>
          <t>CANYON SRAM ZONDACRYPTO</t>
        </is>
      </c>
      <c r="D27" t="inlineStr">
        <is>
          <t>kasia-niewiadoma</t>
        </is>
      </c>
      <c r="E27">
        <f>HYPERLINK("https://www.procyclingstats.com/search.php?term=NIEWIADOMA+KASIA","Cerca su PCS")</f>
        <v/>
      </c>
      <c r="F27" t="inlineStr"/>
      <c r="G27" t="inlineStr"/>
    </row>
    <row r="28">
      <c r="A28" t="n">
        <v>27</v>
      </c>
      <c r="B28" t="inlineStr">
        <is>
          <t>ZAMUDIO GARCIA MAYTE</t>
        </is>
      </c>
      <c r="C28" t="inlineStr">
        <is>
          <t>A.R.MONEX PRO CYCLING TEAM</t>
        </is>
      </c>
      <c r="D28" t="inlineStr">
        <is>
          <t>mayte-zamudio-garcia</t>
        </is>
      </c>
      <c r="E28">
        <f>HYPERLINK("https://www.procyclingstats.com/search.php?term=ZAMUDIO+GARCIA+MAYTE","Cerca su PCS")</f>
        <v/>
      </c>
      <c r="F28" t="inlineStr"/>
      <c r="G28" t="inlineStr"/>
    </row>
    <row r="29">
      <c r="A29" t="n">
        <v>28</v>
      </c>
      <c r="B29" t="inlineStr">
        <is>
          <t>KONONENKO VALERIIA</t>
        </is>
      </c>
      <c r="C29" t="inlineStr">
        <is>
          <t>FANINI PRO CYCLING</t>
        </is>
      </c>
      <c r="D29" t="inlineStr">
        <is>
          <t>valeriia-kononenko</t>
        </is>
      </c>
      <c r="E29">
        <f>HYPERLINK("https://www.procyclingstats.com/search.php?term=KONONENKO+VALERIIA","Cerca su PCS")</f>
        <v/>
      </c>
      <c r="F29" t="inlineStr"/>
      <c r="G29" t="inlineStr"/>
    </row>
    <row r="30">
      <c r="A30" t="n">
        <v>29</v>
      </c>
      <c r="B30" t="inlineStr">
        <is>
          <t>MILAKI ARGYRO</t>
        </is>
      </c>
      <c r="C30" t="inlineStr">
        <is>
          <t>AROMITALIA VAIANO</t>
        </is>
      </c>
      <c r="D30" t="inlineStr">
        <is>
          <t>argyro-milaki</t>
        </is>
      </c>
      <c r="E30">
        <f>HYPERLINK("https://www.procyclingstats.com/search.php?term=MILAKI+ARGYRO","Cerca su PCS")</f>
        <v/>
      </c>
      <c r="F30" t="inlineStr"/>
      <c r="G30" t="inlineStr"/>
    </row>
    <row r="31">
      <c r="A31" t="n">
        <v>30</v>
      </c>
      <c r="B31" t="inlineStr">
        <is>
          <t>BALLIANA ENRICO</t>
        </is>
      </c>
      <c r="C31" t="inlineStr">
        <is>
          <t>TEAM ECOTEK ZERO24</t>
        </is>
      </c>
      <c r="D31" t="inlineStr">
        <is>
          <t>enrico-balliana</t>
        </is>
      </c>
      <c r="E31">
        <f>HYPERLINK("https://www.procyclingstats.com/search.php?term=BALLIANA+ENRICO","Cerca su PCS")</f>
        <v/>
      </c>
      <c r="F31" t="inlineStr"/>
      <c r="G31" t="inlineStr"/>
    </row>
    <row r="32">
      <c r="A32" t="n">
        <v>31</v>
      </c>
      <c r="B32" t="inlineStr">
        <is>
          <t>RODRIGUEZ DELGADO JOSE EMILIO</t>
        </is>
      </c>
      <c r="C32" t="inlineStr">
        <is>
          <t>A.R.MONEX PRO CYCLING TEAM</t>
        </is>
      </c>
      <c r="D32" t="inlineStr">
        <is>
          <t>delgado-jose-emilio-rodriguez</t>
        </is>
      </c>
      <c r="E32">
        <f>HYPERLINK("https://www.procyclingstats.com/search.php?term=RODRIGUEZ+DELGADO+JOSE+EMILIO","Cerca su PCS")</f>
        <v/>
      </c>
      <c r="F32" t="inlineStr"/>
      <c r="G32" t="inlineStr"/>
    </row>
    <row r="33">
      <c r="A33" t="n">
        <v>32</v>
      </c>
      <c r="B33" t="inlineStr">
        <is>
          <t>MORENO GARCIA DANIEL SANTIAGO</t>
        </is>
      </c>
      <c r="C33" t="inlineStr">
        <is>
          <t>A.R.MONEX PRO CYCLING TEAM</t>
        </is>
      </c>
      <c r="D33" t="inlineStr">
        <is>
          <t>garcia-daniel-santiago-moreno</t>
        </is>
      </c>
      <c r="E33">
        <f>HYPERLINK("https://www.procyclingstats.com/search.php?term=MORENO+GARCIA+DANIEL+SANTIAGO","Cerca su PCS")</f>
        <v/>
      </c>
      <c r="F33" t="inlineStr"/>
      <c r="G33" t="inlineStr"/>
    </row>
    <row r="34">
      <c r="A34" t="n">
        <v>33</v>
      </c>
      <c r="B34" t="inlineStr">
        <is>
          <t>LOVER MEDEOT TOMAZ</t>
        </is>
      </c>
      <c r="C34" t="inlineStr">
        <is>
          <t>TEAM TIEPOLO U19 DEVO</t>
        </is>
      </c>
      <c r="D34" t="inlineStr">
        <is>
          <t>tomaz-lover-medeot</t>
        </is>
      </c>
      <c r="E34">
        <f>HYPERLINK("https://www.procyclingstats.com/search.php?term=LOVER+MEDEOT+TOMAZ","Cerca su PCS")</f>
        <v/>
      </c>
      <c r="F34" t="inlineStr"/>
      <c r="G34" t="inlineStr"/>
    </row>
    <row r="35">
      <c r="A35" t="n">
        <v>34</v>
      </c>
      <c r="B35" t="inlineStr">
        <is>
          <t>WROLICH SANTIAGO</t>
        </is>
      </c>
      <c r="C35" t="inlineStr">
        <is>
          <t>TEAM TIEPOLO U19 DEVO</t>
        </is>
      </c>
      <c r="D35" t="inlineStr">
        <is>
          <t>santiago-wrolich</t>
        </is>
      </c>
      <c r="E35">
        <f>HYPERLINK("https://www.procyclingstats.com/search.php?term=WROLICH+SANTIAGO","Cerca su PCS")</f>
        <v/>
      </c>
      <c r="F35" t="inlineStr"/>
      <c r="G35" t="inlineStr"/>
    </row>
    <row r="36">
      <c r="A36" t="n">
        <v>35</v>
      </c>
      <c r="B36" t="inlineStr">
        <is>
          <t>DELL'OLIO FRANCESCO</t>
        </is>
      </c>
      <c r="C36" t="inlineStr">
        <is>
          <t>TEAM VANGI TOMMASINI IL PIRATA</t>
        </is>
      </c>
      <c r="D36" t="inlineStr">
        <is>
          <t>francesco-dell-olio</t>
        </is>
      </c>
      <c r="E36">
        <f>HYPERLINK("https://www.procyclingstats.com/search.php?term=DELL'OLIO+FRANCESCO","Cerca su PCS")</f>
        <v/>
      </c>
      <c r="F36" t="inlineStr"/>
      <c r="G36" t="inlineStr"/>
    </row>
    <row r="37">
      <c r="A37" t="n">
        <v>36</v>
      </c>
      <c r="B37" t="inlineStr">
        <is>
          <t>BIRKEDAL JULIUS</t>
        </is>
      </c>
      <c r="C37" t="inlineStr">
        <is>
          <t>GRENKE - AUTO EDER</t>
        </is>
      </c>
      <c r="D37" t="inlineStr">
        <is>
          <t>julius-birkedal</t>
        </is>
      </c>
      <c r="E37">
        <f>HYPERLINK("https://www.procyclingstats.com/search.php?term=BIRKEDAL+JULIUS","Cerca su PCS")</f>
        <v/>
      </c>
      <c r="F37" t="inlineStr"/>
      <c r="G37" t="inlineStr"/>
    </row>
    <row r="38">
      <c r="A38" t="n">
        <v>37</v>
      </c>
      <c r="B38" t="inlineStr">
        <is>
          <t>MANNU FRANCESCO</t>
        </is>
      </c>
      <c r="C38" t="inlineStr">
        <is>
          <t>CANNEDU ITTIRI "A. MANCA" ASD</t>
        </is>
      </c>
      <c r="D38" t="inlineStr">
        <is>
          <t>francesco-mannu</t>
        </is>
      </c>
      <c r="E38">
        <f>HYPERLINK("https://www.procyclingstats.com/search.php?term=MANNU+FRANCESCO","Cerca su PCS")</f>
        <v/>
      </c>
      <c r="F38" t="inlineStr"/>
      <c r="G38" t="inlineStr"/>
    </row>
    <row r="39">
      <c r="A39" t="n">
        <v>38</v>
      </c>
      <c r="B39" t="inlineStr">
        <is>
          <t>FOLEGANI MATTIA</t>
        </is>
      </c>
      <c r="C39" t="inlineStr">
        <is>
          <t>DUEPPI CYCLING PROJECT</t>
        </is>
      </c>
      <c r="D39" t="inlineStr">
        <is>
          <t>mattia-folegani</t>
        </is>
      </c>
      <c r="E39">
        <f>HYPERLINK("https://www.procyclingstats.com/search.php?term=FOLEGANI+MATTIA","Cerca su PCS")</f>
        <v/>
      </c>
      <c r="F39" t="inlineStr"/>
      <c r="G39" t="inlineStr"/>
    </row>
    <row r="40">
      <c r="A40" t="n">
        <v>39</v>
      </c>
      <c r="B40" t="inlineStr">
        <is>
          <t>MURA ANDREA</t>
        </is>
      </c>
      <c r="C40" t="inlineStr">
        <is>
          <t>POOL BIKE SERRAMANNA</t>
        </is>
      </c>
      <c r="D40" t="inlineStr">
        <is>
          <t>andrea-mura</t>
        </is>
      </c>
      <c r="E40">
        <f>HYPERLINK("https://www.procyclingstats.com/search.php?term=MURA+ANDREA","Cerca su PCS")</f>
        <v/>
      </c>
      <c r="F40" t="inlineStr"/>
      <c r="G40" t="inlineStr"/>
    </row>
    <row r="41">
      <c r="A41" t="n">
        <v>40</v>
      </c>
      <c r="B41" t="inlineStr">
        <is>
          <t>BANDINI FILIPPO</t>
        </is>
      </c>
      <c r="C41" t="inlineStr">
        <is>
          <t>TEAM GENERAL SYSTEM</t>
        </is>
      </c>
      <c r="D41" t="inlineStr">
        <is>
          <t>filippo-bandini</t>
        </is>
      </c>
      <c r="E41">
        <f>HYPERLINK("https://www.procyclingstats.com/search.php?term=BANDINI+FILIPPO","Cerca su PCS")</f>
        <v/>
      </c>
      <c r="F41" t="inlineStr"/>
      <c r="G41" t="inlineStr"/>
    </row>
    <row r="42">
      <c r="A42" t="n">
        <v>41</v>
      </c>
      <c r="B42" t="inlineStr">
        <is>
          <t>IAKOVLEV MATVEL</t>
        </is>
      </c>
      <c r="C42" t="inlineStr">
        <is>
          <t>PC BAIX EBRE TORTOSA</t>
        </is>
      </c>
      <c r="D42" t="inlineStr">
        <is>
          <t>matvel-iakovlev</t>
        </is>
      </c>
      <c r="E42">
        <f>HYPERLINK("https://www.procyclingstats.com/search.php?term=IAKOVLEV+MATVEL","Cerca su PCS")</f>
        <v/>
      </c>
      <c r="F42" t="inlineStr"/>
      <c r="G42" t="inlineStr"/>
    </row>
    <row r="43">
      <c r="A43" t="n">
        <v>42</v>
      </c>
      <c r="B43" t="inlineStr">
        <is>
          <t>SCHNYDER NOAH</t>
        </is>
      </c>
      <c r="C43" t="inlineStr">
        <is>
          <t>SVIZZERA</t>
        </is>
      </c>
      <c r="D43" t="inlineStr">
        <is>
          <t>noah-schnyder</t>
        </is>
      </c>
      <c r="E43">
        <f>HYPERLINK("https://www.procyclingstats.com/search.php?term=SCHNYDER+NOAH","Cerca su PCS")</f>
        <v/>
      </c>
      <c r="F43" t="inlineStr"/>
      <c r="G43" t="inlineStr"/>
    </row>
    <row r="44">
      <c r="A44" t="n">
        <v>43</v>
      </c>
      <c r="B44" t="inlineStr">
        <is>
          <t>FEDERICI FILIPPO</t>
        </is>
      </c>
      <c r="C44" t="inlineStr">
        <is>
          <t>TEAM VANGI TOMMASINI IL PIRATA</t>
        </is>
      </c>
      <c r="D44" t="inlineStr">
        <is>
          <t>filippo-federici</t>
        </is>
      </c>
      <c r="E44">
        <f>HYPERLINK("https://www.procyclingstats.com/search.php?term=FEDERICI+FILIPPO","Cerca su PCS")</f>
        <v/>
      </c>
      <c r="F44" t="inlineStr"/>
      <c r="G44" t="inlineStr"/>
    </row>
    <row r="45">
      <c r="A45" t="n">
        <v>44</v>
      </c>
      <c r="B45" t="inlineStr">
        <is>
          <t>SANTIAGO GARCIA RICARDO</t>
        </is>
      </c>
      <c r="C45" t="inlineStr">
        <is>
          <t>A.R.MONEX PRO CYCLING TEAM</t>
        </is>
      </c>
      <c r="D45" t="inlineStr">
        <is>
          <t>ricardo-santiago-garcia</t>
        </is>
      </c>
      <c r="E45">
        <f>HYPERLINK("https://www.procyclingstats.com/search.php?term=SANTIAGO+GARCIA+RICARDO","Cerca su PCS")</f>
        <v/>
      </c>
      <c r="F45" t="inlineStr"/>
      <c r="G45" t="inlineStr"/>
    </row>
    <row r="46">
      <c r="A46" t="n">
        <v>45</v>
      </c>
      <c r="B46" t="inlineStr">
        <is>
          <t>VESHNIAKOV DANIIL</t>
        </is>
      </c>
      <c r="C46" t="inlineStr">
        <is>
          <t>PC BAIX EBRE TORTOSA</t>
        </is>
      </c>
      <c r="D46" t="inlineStr">
        <is>
          <t>daniil-veshniakov</t>
        </is>
      </c>
      <c r="E46">
        <f>HYPERLINK("https://www.procyclingstats.com/search.php?term=VESHNIAKOV+DANIIL","Cerca su PCS")</f>
        <v/>
      </c>
      <c r="F46" t="inlineStr"/>
      <c r="G46" t="inlineStr"/>
    </row>
    <row r="47">
      <c r="A47" t="n">
        <v>46</v>
      </c>
      <c r="B47" t="inlineStr">
        <is>
          <t>GENTILE ANGELO</t>
        </is>
      </c>
      <c r="C47" t="inlineStr">
        <is>
          <t>G.S. BAREGGESE A.S.D</t>
        </is>
      </c>
      <c r="D47" t="inlineStr">
        <is>
          <t>angelo-gentile</t>
        </is>
      </c>
      <c r="E47">
        <f>HYPERLINK("https://www.procyclingstats.com/search.php?term=GENTILE+ANGELO","Cerca su PCS")</f>
        <v/>
      </c>
      <c r="F47" t="inlineStr"/>
      <c r="G47" t="inlineStr"/>
    </row>
    <row r="48">
      <c r="A48" t="n">
        <v>47</v>
      </c>
      <c r="B48" t="inlineStr">
        <is>
          <t>SECHI MARCO</t>
        </is>
      </c>
      <c r="C48" t="inlineStr">
        <is>
          <t>CANNEDU ITTIRI "A. MANCA" ASD</t>
        </is>
      </c>
      <c r="D48" t="inlineStr">
        <is>
          <t>marco-sechi</t>
        </is>
      </c>
      <c r="E48">
        <f>HYPERLINK("https://www.procyclingstats.com/search.php?term=SECHI+MARCO","Cerca su PCS")</f>
        <v/>
      </c>
      <c r="F48" t="inlineStr"/>
      <c r="G48" t="inlineStr"/>
    </row>
    <row r="49">
      <c r="A49" t="n">
        <v>48</v>
      </c>
      <c r="B49" t="inlineStr">
        <is>
          <t>RANIERI MATTEO</t>
        </is>
      </c>
      <c r="C49" t="inlineStr">
        <is>
          <t>TEAM GENERAL SYSTEM</t>
        </is>
      </c>
      <c r="D49" t="inlineStr">
        <is>
          <t>matteo-ranieri</t>
        </is>
      </c>
      <c r="E49">
        <f>HYPERLINK("https://www.procyclingstats.com/search.php?term=RANIERI+MATTEO","Cerca su PCS")</f>
        <v/>
      </c>
      <c r="F49" t="inlineStr"/>
      <c r="G49" t="inlineStr"/>
    </row>
    <row r="50">
      <c r="A50" t="n">
        <v>49</v>
      </c>
      <c r="B50" t="inlineStr">
        <is>
          <t>STELLA ANTONIO TANCREDI</t>
        </is>
      </c>
      <c r="C50" t="inlineStr">
        <is>
          <t>STAR CYCLING LAB</t>
        </is>
      </c>
      <c r="D50" t="inlineStr">
        <is>
          <t>antonio-tancredi-stella</t>
        </is>
      </c>
      <c r="E50">
        <f>HYPERLINK("https://www.procyclingstats.com/search.php?term=STELLA+ANTONIO+TANCREDI","Cerca su PCS")</f>
        <v/>
      </c>
      <c r="F50" t="inlineStr"/>
      <c r="G50" t="inlineStr"/>
    </row>
    <row r="51">
      <c r="A51" t="n">
        <v>50</v>
      </c>
      <c r="B51" t="inlineStr">
        <is>
          <t>POLIUSHKO OLEKSANDER</t>
        </is>
      </c>
      <c r="C51" t="inlineStr">
        <is>
          <t>VELEKA TEAM</t>
        </is>
      </c>
      <c r="D51" t="inlineStr">
        <is>
          <t>oleksander-poliushko</t>
        </is>
      </c>
      <c r="E51">
        <f>HYPERLINK("https://www.procyclingstats.com/search.php?term=POLIUSHKO+OLEKSANDER","Cerca su PCS")</f>
        <v/>
      </c>
      <c r="F51" t="inlineStr"/>
      <c r="G51" t="inlineStr"/>
    </row>
    <row r="52">
      <c r="A52" t="n">
        <v>51</v>
      </c>
      <c r="B52" t="inlineStr">
        <is>
          <t>SHANNON HARRISON</t>
        </is>
      </c>
      <c r="C52" t="inlineStr">
        <is>
          <t>ARA I SKIP CAPITAL</t>
        </is>
      </c>
      <c r="D52" t="inlineStr">
        <is>
          <t>harrison-shannon</t>
        </is>
      </c>
      <c r="E52">
        <f>HYPERLINK("https://www.procyclingstats.com/search.php?term=SHANNON+HARRISON","Cerca su PCS")</f>
        <v/>
      </c>
      <c r="F52" t="inlineStr"/>
      <c r="G52" t="inlineStr"/>
    </row>
    <row r="53">
      <c r="A53" t="n">
        <v>52</v>
      </c>
      <c r="B53" t="inlineStr">
        <is>
          <t>ORHOLM-LONSETH SIND</t>
        </is>
      </c>
      <c r="C53" t="inlineStr">
        <is>
          <t>NORVEGIA</t>
        </is>
      </c>
      <c r="D53" t="inlineStr">
        <is>
          <t>sind-orholm-lonseth</t>
        </is>
      </c>
      <c r="E53">
        <f>HYPERLINK("https://www.procyclingstats.com/search.php?term=ORHOLM-LONSETH+SIND","Cerca su PCS")</f>
        <v/>
      </c>
      <c r="F53" t="inlineStr"/>
      <c r="G53" t="inlineStr"/>
    </row>
    <row r="54">
      <c r="A54" t="n">
        <v>53</v>
      </c>
      <c r="B54" t="inlineStr">
        <is>
          <t>NOVAL SUAREZ BENJAMIN</t>
        </is>
      </c>
      <c r="C54" t="inlineStr">
        <is>
          <t>SPAGNA</t>
        </is>
      </c>
      <c r="D54" t="inlineStr">
        <is>
          <t>benjamin-noval-suarez</t>
        </is>
      </c>
      <c r="E54">
        <f>HYPERLINK("https://www.procyclingstats.com/search.php?term=NOVAL+SUAREZ+BENJAMIN","Cerca su PCS")</f>
        <v/>
      </c>
      <c r="F54" t="inlineStr"/>
      <c r="G54" t="inlineStr"/>
    </row>
    <row r="55">
      <c r="A55" t="n">
        <v>54</v>
      </c>
      <c r="B55" t="inlineStr">
        <is>
          <t>BERARDI MICHELE</t>
        </is>
      </c>
      <c r="C55" t="inlineStr">
        <is>
          <t>SIDERMEC - SLP</t>
        </is>
      </c>
      <c r="D55" t="inlineStr">
        <is>
          <t>michele-berardi</t>
        </is>
      </c>
      <c r="E55">
        <f>HYPERLINK("https://www.procyclingstats.com/search.php?term=BERARDI+MICHELE","Cerca su PCS")</f>
        <v/>
      </c>
      <c r="F55" t="inlineStr"/>
      <c r="G55" t="inlineStr"/>
    </row>
    <row r="56">
      <c r="A56" t="n">
        <v>55</v>
      </c>
      <c r="B56" t="inlineStr">
        <is>
          <t>SPAMPINATO GIANLUCA</t>
        </is>
      </c>
      <c r="C56" t="inlineStr">
        <is>
          <t>MADONE-TEAM BIKE SICILIA</t>
        </is>
      </c>
      <c r="D56" t="inlineStr">
        <is>
          <t>gianluca-spampinato</t>
        </is>
      </c>
      <c r="E56">
        <f>HYPERLINK("https://www.procyclingstats.com/search.php?term=SPAMPINATO+GIANLUCA","Cerca su PCS")</f>
        <v/>
      </c>
      <c r="F56" t="inlineStr"/>
      <c r="G56" t="inlineStr"/>
    </row>
    <row r="57">
      <c r="A57" t="n">
        <v>56</v>
      </c>
      <c r="B57" t="inlineStr">
        <is>
          <t>FERNANDEZ RUIZ JORGE LUIS</t>
        </is>
      </c>
      <c r="C57" t="inlineStr">
        <is>
          <t>A.R.MONEX PRO CYCLING TEAM</t>
        </is>
      </c>
      <c r="D57" t="inlineStr">
        <is>
          <t>ruiz-jorge-luis-fernandez</t>
        </is>
      </c>
      <c r="E57">
        <f>HYPERLINK("https://www.procyclingstats.com/search.php?term=FERNANDEZ+RUIZ+JORGE+LUIS","Cerca su PCS")</f>
        <v/>
      </c>
      <c r="F57" t="inlineStr"/>
      <c r="G57" t="inlineStr"/>
    </row>
    <row r="58">
      <c r="A58" t="n">
        <v>57</v>
      </c>
      <c r="B58" t="inlineStr">
        <is>
          <t>COPPOLINO EDOARDO JOE</t>
        </is>
      </c>
      <c r="C58" t="inlineStr">
        <is>
          <t>CYCLING TEAM NIAL NIZZOLI ALMO</t>
        </is>
      </c>
      <c r="D58" t="inlineStr">
        <is>
          <t>edoardo-coppolino</t>
        </is>
      </c>
      <c r="E58">
        <f>HYPERLINK("https://www.procyclingstats.com/search.php?term=COPPOLINO+EDOARDO+JOE","Cerca su PCS")</f>
        <v/>
      </c>
      <c r="F58" t="inlineStr"/>
      <c r="G58" t="inlineStr"/>
    </row>
    <row r="59">
      <c r="A59" t="n">
        <v>58</v>
      </c>
      <c r="B59" t="inlineStr">
        <is>
          <t>MANCA SAMUELE</t>
        </is>
      </c>
      <c r="C59" t="inlineStr">
        <is>
          <t>SESTU BIKE A.S.D.</t>
        </is>
      </c>
      <c r="D59" t="inlineStr">
        <is>
          <t>samuele-manca</t>
        </is>
      </c>
      <c r="E59">
        <f>HYPERLINK("https://www.procyclingstats.com/search.php?term=MANCA+SAMUELE","Cerca su PCS")</f>
        <v/>
      </c>
      <c r="F59" t="inlineStr"/>
      <c r="G59" t="inlineStr"/>
    </row>
    <row r="60">
      <c r="A60" t="n">
        <v>59</v>
      </c>
      <c r="B60" t="inlineStr">
        <is>
          <t>LINGENHAG LAURIN</t>
        </is>
      </c>
      <c r="C60" t="inlineStr">
        <is>
          <t>AXION FUTURE TEAM</t>
        </is>
      </c>
      <c r="D60" t="inlineStr">
        <is>
          <t>laurin-lingenhag</t>
        </is>
      </c>
      <c r="E60">
        <f>HYPERLINK("https://www.procyclingstats.com/search.php?term=LINGENHAG+LAURIN","Cerca su PCS")</f>
        <v/>
      </c>
      <c r="F60" t="inlineStr"/>
      <c r="G60" t="inlineStr"/>
    </row>
    <row r="61">
      <c r="A61" t="n">
        <v>60</v>
      </c>
      <c r="B61" t="inlineStr">
        <is>
          <t>MOCCI EDOARDO</t>
        </is>
      </c>
      <c r="C61" t="inlineStr">
        <is>
          <t>S. C. CENE A. S. D.</t>
        </is>
      </c>
      <c r="D61" t="inlineStr">
        <is>
          <t>edoardo-mocci</t>
        </is>
      </c>
      <c r="E61">
        <f>HYPERLINK("https://www.procyclingstats.com/search.php?term=MOCCI+EDOARDO","Cerca su PCS")</f>
        <v/>
      </c>
      <c r="F61" t="inlineStr"/>
      <c r="G61" t="inlineStr"/>
    </row>
    <row r="62">
      <c r="A62" t="n">
        <v>61</v>
      </c>
      <c r="B62" t="inlineStr">
        <is>
          <t>OLIINYK YURII</t>
        </is>
      </c>
      <c r="C62" t="inlineStr">
        <is>
          <t>TEAM ECOTEK ZERO24</t>
        </is>
      </c>
      <c r="D62" t="inlineStr">
        <is>
          <t>yurii-oliinyk</t>
        </is>
      </c>
      <c r="E62">
        <f>HYPERLINK("https://www.procyclingstats.com/search.php?term=OLIINYK+YURII","Cerca su PCS")</f>
        <v/>
      </c>
      <c r="F62" t="inlineStr"/>
      <c r="G62" t="inlineStr"/>
    </row>
    <row r="63">
      <c r="A63" t="n">
        <v>62</v>
      </c>
      <c r="B63" t="inlineStr">
        <is>
          <t>RESTREPO LOAIZA OSCAR IVAN</t>
        </is>
      </c>
      <c r="C63" t="inlineStr">
        <is>
          <t>TEAM GENERAL SYSTEM</t>
        </is>
      </c>
      <c r="D63" t="inlineStr">
        <is>
          <t>loaiza-oscar-ivan-restrepo</t>
        </is>
      </c>
      <c r="E63">
        <f>HYPERLINK("https://www.procyclingstats.com/search.php?term=RESTREPO+LOAIZA+OSCAR+IVAN","Cerca su PCS")</f>
        <v/>
      </c>
      <c r="F63" t="inlineStr"/>
      <c r="G63" t="inlineStr"/>
    </row>
    <row r="64">
      <c r="A64" t="n">
        <v>63</v>
      </c>
      <c r="B64" t="inlineStr">
        <is>
          <t>CONGIU FILIPPO</t>
        </is>
      </c>
      <c r="C64" t="inlineStr">
        <is>
          <t>NURRI-ORROLI MTB A.S.D.</t>
        </is>
      </c>
      <c r="D64" t="inlineStr">
        <is>
          <t>filippo-congiu</t>
        </is>
      </c>
      <c r="E64">
        <f>HYPERLINK("https://www.procyclingstats.com/search.php?term=CONGIU+FILIPPO","Cerca su PCS")</f>
        <v/>
      </c>
      <c r="F64" t="inlineStr"/>
      <c r="G64" t="inlineStr"/>
    </row>
    <row r="65">
      <c r="A65" t="n">
        <v>64</v>
      </c>
      <c r="B65" t="inlineStr">
        <is>
          <t>FARSETTI BRANDO</t>
        </is>
      </c>
      <c r="C65" t="inlineStr">
        <is>
          <t>POLISPORTIVA MONSUMMANESE</t>
        </is>
      </c>
      <c r="D65" t="inlineStr">
        <is>
          <t>brando-farsetti</t>
        </is>
      </c>
      <c r="E65">
        <f>HYPERLINK("https://www.procyclingstats.com/search.php?term=FARSETTI+BRANDO","Cerca su PCS")</f>
        <v/>
      </c>
      <c r="F65" t="inlineStr"/>
      <c r="G65" t="inlineStr"/>
    </row>
    <row r="66">
      <c r="A66" t="n">
        <v>65</v>
      </c>
      <c r="B66" t="inlineStr">
        <is>
          <t>MAJNIC MAKS</t>
        </is>
      </c>
      <c r="C66" t="inlineStr">
        <is>
          <t>POGI TEAM UAE GENERALI</t>
        </is>
      </c>
      <c r="D66" t="inlineStr">
        <is>
          <t>maks-majnic</t>
        </is>
      </c>
      <c r="E66">
        <f>HYPERLINK("https://www.procyclingstats.com/search.php?term=MAJNIC+MAKS","Cerca su PCS")</f>
        <v/>
      </c>
      <c r="F66" t="inlineStr"/>
      <c r="G66" t="inlineStr"/>
    </row>
    <row r="67">
      <c r="A67" t="n">
        <v>66</v>
      </c>
      <c r="B67" t="inlineStr">
        <is>
          <t>DI BARTOLO LUIGI</t>
        </is>
      </c>
      <c r="C67" t="inlineStr">
        <is>
          <t>MULTICAR GRUPPO AMARU'</t>
        </is>
      </c>
      <c r="D67" t="inlineStr">
        <is>
          <t>bartolo-di</t>
        </is>
      </c>
      <c r="E67">
        <f>HYPERLINK("https://www.procyclingstats.com/search.php?term=DI+BARTOLO+LUIGI","Cerca su PCS")</f>
        <v/>
      </c>
      <c r="F67" t="inlineStr"/>
      <c r="G67" t="inlineStr"/>
    </row>
    <row r="68">
      <c r="A68" t="n">
        <v>67</v>
      </c>
      <c r="B68" t="inlineStr">
        <is>
          <t>ALFIER ARI IVO</t>
        </is>
      </c>
      <c r="C68" t="inlineStr">
        <is>
          <t>V.C. ORSAGO - OROGILDO</t>
        </is>
      </c>
      <c r="D68" t="inlineStr">
        <is>
          <t>ari-alfier</t>
        </is>
      </c>
      <c r="E68">
        <f>HYPERLINK("https://www.procyclingstats.com/search.php?term=ALFIER+ARI+IVO","Cerca su PCS")</f>
        <v/>
      </c>
      <c r="F68" t="inlineStr"/>
      <c r="G68" t="inlineStr"/>
    </row>
    <row r="69">
      <c r="A69" t="n">
        <v>68</v>
      </c>
      <c r="B69" t="inlineStr">
        <is>
          <t>MATYASIK MAKSYMILIAN</t>
        </is>
      </c>
      <c r="C69" t="inlineStr">
        <is>
          <t>SOUDAL QUICK-STEP JUNIOR TEAM</t>
        </is>
      </c>
      <c r="D69" t="inlineStr">
        <is>
          <t>maksymilian-matyasik</t>
        </is>
      </c>
      <c r="E69">
        <f>HYPERLINK("https://www.procyclingstats.com/search.php?term=MATYASIK+MAKSYMILIAN","Cerca su PCS")</f>
        <v/>
      </c>
      <c r="F69" t="inlineStr"/>
      <c r="G69" t="inlineStr"/>
    </row>
    <row r="70">
      <c r="A70" t="n">
        <v>69</v>
      </c>
      <c r="B70" t="inlineStr">
        <is>
          <t>BRESOLIN FEDERICO</t>
        </is>
      </c>
      <c r="C70" t="inlineStr">
        <is>
          <t>A.S.D. POSTUMIA 73 D.L. CICLISMO</t>
        </is>
      </c>
      <c r="D70" t="inlineStr">
        <is>
          <t>federico-bresolin</t>
        </is>
      </c>
      <c r="E70">
        <f>HYPERLINK("https://www.procyclingstats.com/search.php?term=BRESOLIN+FEDERICO","Cerca su PCS")</f>
        <v/>
      </c>
      <c r="F70" t="inlineStr"/>
      <c r="G70" t="inlineStr"/>
    </row>
    <row r="71">
      <c r="A71" t="n">
        <v>70</v>
      </c>
      <c r="B71" t="inlineStr">
        <is>
          <t>NICCOLINI STEFANO</t>
        </is>
      </c>
      <c r="C71" t="inlineStr">
        <is>
          <t>POLISPORTIVA MONSUMMANESE</t>
        </is>
      </c>
      <c r="D71" t="inlineStr">
        <is>
          <t>stefano-niccolini</t>
        </is>
      </c>
      <c r="E71">
        <f>HYPERLINK("https://www.procyclingstats.com/search.php?term=NICCOLINI+STEFANO","Cerca su PCS")</f>
        <v/>
      </c>
      <c r="F71" t="inlineStr"/>
      <c r="G71" t="inlineStr"/>
    </row>
    <row r="72">
      <c r="A72" t="n">
        <v>71</v>
      </c>
      <c r="B72" t="inlineStr">
        <is>
          <t>SOLLA LEONARDO</t>
        </is>
      </c>
      <c r="C72" t="inlineStr">
        <is>
          <t>S.C. MONTEPONI A.S.D.</t>
        </is>
      </c>
      <c r="D72" t="inlineStr">
        <is>
          <t>leonardo-solla</t>
        </is>
      </c>
      <c r="E72">
        <f>HYPERLINK("https://www.procyclingstats.com/search.php?term=SOLLA+LEONARDO","Cerca su PCS")</f>
        <v/>
      </c>
      <c r="F72" t="inlineStr"/>
      <c r="G72" t="inlineStr"/>
    </row>
    <row r="73">
      <c r="A73" t="n">
        <v>72</v>
      </c>
      <c r="B73" t="inlineStr">
        <is>
          <t>DERGANC ANTON</t>
        </is>
      </c>
      <c r="C73" t="inlineStr">
        <is>
          <t>KK NOVO MESTO</t>
        </is>
      </c>
      <c r="D73" t="inlineStr">
        <is>
          <t>anton-derganc</t>
        </is>
      </c>
      <c r="E73">
        <f>HYPERLINK("https://www.procyclingstats.com/search.php?term=DERGANC+ANTON","Cerca su PCS")</f>
        <v/>
      </c>
      <c r="F73" t="inlineStr"/>
      <c r="G73" t="inlineStr"/>
    </row>
    <row r="74">
      <c r="A74" t="n">
        <v>73</v>
      </c>
      <c r="B74" t="inlineStr">
        <is>
          <t>PIRRONE MATTEO</t>
        </is>
      </c>
      <c r="C74" t="inlineStr">
        <is>
          <t>A.S.D. PROBIKE ERICE</t>
        </is>
      </c>
      <c r="D74" t="inlineStr">
        <is>
          <t>matteo-pirrone</t>
        </is>
      </c>
      <c r="E74">
        <f>HYPERLINK("https://www.procyclingstats.com/search.php?term=PIRRONE+MATTEO","Cerca su PCS")</f>
        <v/>
      </c>
      <c r="F74" t="inlineStr"/>
      <c r="G74" t="inlineStr"/>
    </row>
    <row r="75">
      <c r="A75" t="n">
        <v>74</v>
      </c>
      <c r="B75" t="inlineStr">
        <is>
          <t>FOGLI TOMMASO</t>
        </is>
      </c>
      <c r="C75" t="inlineStr">
        <is>
          <t>TEAM NERI SOTTOLI LUCCHINI ENERGY</t>
        </is>
      </c>
      <c r="D75" t="inlineStr">
        <is>
          <t>tommaso-fogli</t>
        </is>
      </c>
      <c r="E75">
        <f>HYPERLINK("https://www.procyclingstats.com/search.php?term=FOGLI+TOMMASO","Cerca su PCS")</f>
        <v/>
      </c>
      <c r="F75" t="inlineStr"/>
      <c r="G75" t="inlineStr"/>
    </row>
    <row r="76">
      <c r="A76" t="n">
        <v>75</v>
      </c>
      <c r="B76" t="inlineStr">
        <is>
          <t>GABRIELE MATTEO</t>
        </is>
      </c>
      <c r="C76" t="inlineStr">
        <is>
          <t>ITALIA NUOVA BOLOGNA</t>
        </is>
      </c>
      <c r="D76" t="inlineStr">
        <is>
          <t>matteo-gabriele</t>
        </is>
      </c>
      <c r="E76">
        <f>HYPERLINK("https://www.procyclingstats.com/search.php?term=GABRIELE+MATTEO","Cerca su PCS")</f>
        <v/>
      </c>
      <c r="F76" t="inlineStr"/>
      <c r="G76" t="inlineStr"/>
    </row>
    <row r="77">
      <c r="A77" t="n">
        <v>76</v>
      </c>
      <c r="B77" t="inlineStr">
        <is>
          <t>TAMASHIRO CAPPELLETTI KEN GEO</t>
        </is>
      </c>
      <c r="C77" t="inlineStr">
        <is>
          <t>SS AQUILA</t>
        </is>
      </c>
      <c r="D77" t="inlineStr">
        <is>
          <t>cappelletti-tamashiro</t>
        </is>
      </c>
      <c r="E77">
        <f>HYPERLINK("https://www.procyclingstats.com/search.php?term=TAMASHIRO+CAPPELLETTI+KEN+GEO","Cerca su PCS")</f>
        <v/>
      </c>
      <c r="F77" t="inlineStr"/>
      <c r="G77" t="inlineStr"/>
    </row>
    <row r="78">
      <c r="A78" t="n">
        <v>77</v>
      </c>
      <c r="B78" t="inlineStr">
        <is>
          <t>COATES BENJAMIN</t>
        </is>
      </c>
      <c r="C78" t="inlineStr">
        <is>
          <t>AUSTRALIA</t>
        </is>
      </c>
      <c r="D78" t="inlineStr">
        <is>
          <t>benjamin-coates</t>
        </is>
      </c>
      <c r="E78">
        <f>HYPERLINK("https://www.procyclingstats.com/search.php?term=COATES+BENJAMIN","Cerca su PCS")</f>
        <v/>
      </c>
      <c r="F78" t="inlineStr"/>
      <c r="G78" t="inlineStr"/>
    </row>
    <row r="79">
      <c r="A79" t="n">
        <v>78</v>
      </c>
      <c r="B79" t="inlineStr">
        <is>
          <t>IETTA EDOARDO</t>
        </is>
      </c>
      <c r="C79" t="inlineStr">
        <is>
          <t>G.S.GIOVANI GIUSSANESI A.S.D.</t>
        </is>
      </c>
      <c r="D79" t="inlineStr">
        <is>
          <t>edoardo-ietta</t>
        </is>
      </c>
      <c r="E79">
        <f>HYPERLINK("https://www.procyclingstats.com/search.php?term=IETTA+EDOARDO","Cerca su PCS")</f>
        <v/>
      </c>
      <c r="F79" t="inlineStr"/>
      <c r="G79" t="inlineStr"/>
    </row>
    <row r="80">
      <c r="A80" t="n">
        <v>79</v>
      </c>
      <c r="B80" t="inlineStr">
        <is>
          <t>MILANI LORENZO</t>
        </is>
      </c>
      <c r="C80" t="inlineStr">
        <is>
          <t>POOL CANTU' GB TEAM A.S.D.</t>
        </is>
      </c>
      <c r="D80" t="inlineStr">
        <is>
          <t>lorenzo-milani</t>
        </is>
      </c>
      <c r="E80">
        <f>HYPERLINK("https://www.procyclingstats.com/search.php?term=MILANI+LORENZO","Cerca su PCS")</f>
        <v/>
      </c>
      <c r="F80" t="inlineStr"/>
      <c r="G80" t="inlineStr"/>
    </row>
    <row r="81">
      <c r="A81" t="n">
        <v>80</v>
      </c>
      <c r="B81" t="inlineStr">
        <is>
          <t>ARGENTINO SALVATORE</t>
        </is>
      </c>
      <c r="C81" t="inlineStr">
        <is>
          <t>STAR CYCLING LAB</t>
        </is>
      </c>
      <c r="D81" t="inlineStr">
        <is>
          <t>salvatore-argentino</t>
        </is>
      </c>
      <c r="E81">
        <f>HYPERLINK("https://www.procyclingstats.com/search.php?term=ARGENTINO+SALVATORE","Cerca su PCS")</f>
        <v/>
      </c>
      <c r="F81" t="inlineStr"/>
      <c r="G81" t="inlineStr"/>
    </row>
    <row r="82">
      <c r="A82" t="n">
        <v>81</v>
      </c>
      <c r="B82" t="inlineStr">
        <is>
          <t>BERBERI ANGELO</t>
        </is>
      </c>
      <c r="C82" t="inlineStr">
        <is>
          <t>BIESSE - CARRERA - PREMAC</t>
        </is>
      </c>
      <c r="D82" t="inlineStr">
        <is>
          <t>angelo-berberi</t>
        </is>
      </c>
      <c r="E82">
        <f>HYPERLINK("https://www.procyclingstats.com/search.php?term=BERBERI+ANGELO","Cerca su PCS")</f>
        <v/>
      </c>
      <c r="F82" t="inlineStr"/>
      <c r="G82" t="inlineStr"/>
    </row>
    <row r="83">
      <c r="A83" t="n">
        <v>82</v>
      </c>
      <c r="B83" t="inlineStr">
        <is>
          <t>PINNA ROBERTO</t>
        </is>
      </c>
      <c r="C83" t="inlineStr">
        <is>
          <t>SIDERMEC - SLP</t>
        </is>
      </c>
      <c r="D83" t="inlineStr">
        <is>
          <t>roberto-pinna</t>
        </is>
      </c>
      <c r="E83">
        <f>HYPERLINK("https://www.procyclingstats.com/search.php?term=PINNA+ROBERTO","Cerca su PCS")</f>
        <v/>
      </c>
      <c r="F83" t="inlineStr"/>
      <c r="G83" t="inlineStr"/>
    </row>
    <row r="84">
      <c r="A84" t="n">
        <v>83</v>
      </c>
      <c r="B84" t="inlineStr">
        <is>
          <t>SERINI MATTIA</t>
        </is>
      </c>
      <c r="C84" t="inlineStr">
        <is>
          <t>ASD PEDALE CASALESE ARMOFER</t>
        </is>
      </c>
      <c r="D84" t="inlineStr">
        <is>
          <t>mattia-serini</t>
        </is>
      </c>
      <c r="E84">
        <f>HYPERLINK("https://www.procyclingstats.com/search.php?term=SERINI+MATTIA","Cerca su PCS")</f>
        <v/>
      </c>
      <c r="F84" t="inlineStr"/>
      <c r="G84" t="inlineStr"/>
    </row>
    <row r="85">
      <c r="A85" t="n">
        <v>84</v>
      </c>
      <c r="B85" t="inlineStr">
        <is>
          <t>ACTIS SAMUELE</t>
        </is>
      </c>
      <c r="C85" t="inlineStr">
        <is>
          <t>CICLISTICA ROSTESE</t>
        </is>
      </c>
      <c r="D85" t="inlineStr">
        <is>
          <t>samuele-actis</t>
        </is>
      </c>
      <c r="E85">
        <f>HYPERLINK("https://www.procyclingstats.com/search.php?term=ACTIS+SAMUELE","Cerca su PCS")</f>
        <v/>
      </c>
      <c r="F85" t="inlineStr"/>
      <c r="G85" t="inlineStr"/>
    </row>
    <row r="86">
      <c r="A86" t="n">
        <v>85</v>
      </c>
      <c r="B86" t="inlineStr">
        <is>
          <t>AYALA ARELLANO EDUARD EMANUEL</t>
        </is>
      </c>
      <c r="C86" t="inlineStr">
        <is>
          <t>TEAM GUERRINI SENAGHESE</t>
        </is>
      </c>
      <c r="D86" t="inlineStr">
        <is>
          <t>eduard-emanuel-ayala-arellano</t>
        </is>
      </c>
      <c r="E86">
        <f>HYPERLINK("https://www.procyclingstats.com/search.php?term=AYALA+ARELLANO+EDUARD+EMANUEL","Cerca su PCS")</f>
        <v/>
      </c>
      <c r="F86" t="inlineStr"/>
      <c r="G86" t="inlineStr"/>
    </row>
    <row r="87">
      <c r="A87" t="n">
        <v>86</v>
      </c>
      <c r="B87" t="inlineStr">
        <is>
          <t>BANNER WIL</t>
        </is>
      </c>
      <c r="C87" t="inlineStr">
        <is>
          <t>ST KILDA CYCLING CLUB</t>
        </is>
      </c>
      <c r="D87" t="inlineStr">
        <is>
          <t>wil-banner</t>
        </is>
      </c>
      <c r="E87">
        <f>HYPERLINK("https://www.procyclingstats.com/search.php?term=BANNER+WIL","Cerca su PCS")</f>
        <v/>
      </c>
      <c r="F87" t="inlineStr"/>
      <c r="G87" t="inlineStr"/>
    </row>
    <row r="88">
      <c r="A88" t="n">
        <v>87</v>
      </c>
      <c r="B88" t="inlineStr">
        <is>
          <t>MOLLO GIANMARIA</t>
        </is>
      </c>
      <c r="C88" t="inlineStr">
        <is>
          <t>U.C. PIASCO</t>
        </is>
      </c>
      <c r="D88" t="inlineStr">
        <is>
          <t>gianmaria-mollo</t>
        </is>
      </c>
      <c r="E88">
        <f>HYPERLINK("https://www.procyclingstats.com/search.php?term=MOLLO+GIANMARIA","Cerca su PCS")</f>
        <v/>
      </c>
      <c r="F88" t="inlineStr"/>
      <c r="G88" t="inlineStr"/>
    </row>
    <row r="89">
      <c r="A89" t="n">
        <v>88</v>
      </c>
      <c r="B89" t="inlineStr">
        <is>
          <t>ASTORRI MARTINO</t>
        </is>
      </c>
      <c r="C89" t="inlineStr">
        <is>
          <t>DAL RISO AL ROSA</t>
        </is>
      </c>
      <c r="D89" t="inlineStr">
        <is>
          <t>martino-astorri</t>
        </is>
      </c>
      <c r="E89">
        <f>HYPERLINK("https://www.procyclingstats.com/search.php?term=ASTORRI+MARTINO","Cerca su PCS")</f>
        <v/>
      </c>
      <c r="F89" t="inlineStr"/>
      <c r="G89" t="inlineStr"/>
    </row>
    <row r="90">
      <c r="A90" t="n">
        <v>89</v>
      </c>
      <c r="B90" t="inlineStr">
        <is>
          <t>VILLA MATTEO</t>
        </is>
      </c>
      <c r="C90" t="inlineStr">
        <is>
          <t>S.C. ROMANESE ASD</t>
        </is>
      </c>
      <c r="D90" t="inlineStr">
        <is>
          <t>matteo-villa</t>
        </is>
      </c>
      <c r="E90">
        <f>HYPERLINK("https://www.procyclingstats.com/search.php?term=VILLA+MATTEO","Cerca su PCS")</f>
        <v/>
      </c>
      <c r="F90" t="inlineStr"/>
      <c r="G90" t="inlineStr"/>
    </row>
    <row r="91">
      <c r="A91" t="n">
        <v>90</v>
      </c>
      <c r="B91" t="inlineStr">
        <is>
          <t>PITTA JACOPO</t>
        </is>
      </c>
      <c r="C91" t="inlineStr">
        <is>
          <t>TEAM TIEPOLO U19 DEVO</t>
        </is>
      </c>
      <c r="D91" t="inlineStr">
        <is>
          <t>jacopo-pitta</t>
        </is>
      </c>
      <c r="E91">
        <f>HYPERLINK("https://www.procyclingstats.com/search.php?term=PITTA+JACOPO","Cerca su PCS")</f>
        <v/>
      </c>
      <c r="F91" t="inlineStr"/>
      <c r="G91" t="inlineStr"/>
    </row>
    <row r="92">
      <c r="A92" t="n">
        <v>91</v>
      </c>
      <c r="B92" t="inlineStr">
        <is>
          <t>NICOSIA TOMMASO</t>
        </is>
      </c>
      <c r="C92" t="inlineStr">
        <is>
          <t>U.C.A.B. 1925 BIELLA - SEMPERLUX</t>
        </is>
      </c>
      <c r="D92" t="inlineStr">
        <is>
          <t>tommaso-nicosia</t>
        </is>
      </c>
      <c r="E92">
        <f>HYPERLINK("https://www.procyclingstats.com/search.php?term=NICOSIA+TOMMASO","Cerca su PCS")</f>
        <v/>
      </c>
      <c r="F92" t="inlineStr"/>
      <c r="G92" t="inlineStr"/>
    </row>
    <row r="93">
      <c r="A93" t="n">
        <v>92</v>
      </c>
      <c r="B93" t="inlineStr">
        <is>
          <t>GENOVESE RICCARDO</t>
        </is>
      </c>
      <c r="C93" t="inlineStr">
        <is>
          <t>V.C. ORSAGO - OROGILDO</t>
        </is>
      </c>
      <c r="D93" t="inlineStr">
        <is>
          <t>riccardo-genovese</t>
        </is>
      </c>
      <c r="E93">
        <f>HYPERLINK("https://www.procyclingstats.com/search.php?term=GENOVESE+RICCARDO","Cerca su PCS")</f>
        <v/>
      </c>
      <c r="F93" t="inlineStr"/>
      <c r="G93" t="inlineStr"/>
    </row>
    <row r="94">
      <c r="A94" t="n">
        <v>93</v>
      </c>
      <c r="B94" t="inlineStr">
        <is>
          <t>GIOVANNINI LEONARDO</t>
        </is>
      </c>
      <c r="C94" t="inlineStr">
        <is>
          <t>U.C. PIASCO</t>
        </is>
      </c>
      <c r="D94" t="inlineStr">
        <is>
          <t>leonardo-giovannini</t>
        </is>
      </c>
      <c r="E94">
        <f>HYPERLINK("https://www.procyclingstats.com/search.php?term=GIOVANNINI+LEONARDO","Cerca su PCS")</f>
        <v/>
      </c>
      <c r="F94" t="inlineStr"/>
      <c r="G94" t="inlineStr"/>
    </row>
    <row r="95">
      <c r="A95" t="n">
        <v>94</v>
      </c>
      <c r="B95" t="inlineStr">
        <is>
          <t>VERONI RICCARDO</t>
        </is>
      </c>
      <c r="C95" t="inlineStr">
        <is>
          <t>CYCLING TEAM NIAL NIZZOLI ALMO</t>
        </is>
      </c>
      <c r="D95" t="inlineStr">
        <is>
          <t>riccardo-veroni</t>
        </is>
      </c>
      <c r="E95">
        <f>HYPERLINK("https://www.procyclingstats.com/search.php?term=VERONI+RICCARDO","Cerca su PCS")</f>
        <v/>
      </c>
      <c r="F95" t="inlineStr"/>
      <c r="G95" t="inlineStr"/>
    </row>
    <row r="96">
      <c r="A96" t="n">
        <v>95</v>
      </c>
      <c r="B96" t="inlineStr">
        <is>
          <t>CASTELLANI CESARE</t>
        </is>
      </c>
      <c r="C96" t="inlineStr">
        <is>
          <t>POOL CANTU' GB TEAM A.S.D.</t>
        </is>
      </c>
      <c r="D96" t="inlineStr">
        <is>
          <t>cesare-castellani</t>
        </is>
      </c>
      <c r="E96">
        <f>HYPERLINK("https://www.procyclingstats.com/search.php?term=CASTELLANI+CESARE","Cerca su PCS")</f>
        <v/>
      </c>
      <c r="F96" t="inlineStr"/>
      <c r="G96" t="inlineStr"/>
    </row>
    <row r="97">
      <c r="A97" t="n">
        <v>96</v>
      </c>
      <c r="B97" t="inlineStr">
        <is>
          <t>COMETTO FILIPPO</t>
        </is>
      </c>
      <c r="C97" t="inlineStr">
        <is>
          <t>U.C. PIASCO</t>
        </is>
      </c>
      <c r="D97" t="inlineStr">
        <is>
          <t>filippo-cometto</t>
        </is>
      </c>
      <c r="E97">
        <f>HYPERLINK("https://www.procyclingstats.com/search.php?term=COMETTO+FILIPPO","Cerca su PCS")</f>
        <v/>
      </c>
      <c r="F97" t="inlineStr"/>
      <c r="G97" t="inlineStr"/>
    </row>
    <row r="98">
      <c r="A98" t="n">
        <v>97</v>
      </c>
      <c r="B98" t="inlineStr">
        <is>
          <t>PASSONI MICHELE</t>
        </is>
      </c>
      <c r="C98" t="inlineStr">
        <is>
          <t>U.C.A.B. 1925 BIELLA - SEMPERLUX</t>
        </is>
      </c>
      <c r="D98" t="inlineStr">
        <is>
          <t>michele-passoni</t>
        </is>
      </c>
      <c r="E98">
        <f>HYPERLINK("https://www.procyclingstats.com/search.php?term=PASSONI+MICHELE","Cerca su PCS")</f>
        <v/>
      </c>
      <c r="F98" t="inlineStr"/>
      <c r="G98" t="inlineStr"/>
    </row>
    <row r="99">
      <c r="A99" t="n">
        <v>98</v>
      </c>
      <c r="B99" t="inlineStr">
        <is>
          <t>NIERI NICCOLO'</t>
        </is>
      </c>
      <c r="C99" t="inlineStr">
        <is>
          <t>TEAM VANGI TOMMASINI IL PIRATA</t>
        </is>
      </c>
      <c r="D99" t="inlineStr">
        <is>
          <t>niccolo-nieri</t>
        </is>
      </c>
      <c r="E99">
        <f>HYPERLINK("https://www.procyclingstats.com/search.php?term=NIERI+NICCOLO'","Cerca su PCS")</f>
        <v/>
      </c>
      <c r="F99" t="inlineStr"/>
      <c r="G99" t="inlineStr"/>
    </row>
    <row r="100">
      <c r="A100" t="n">
        <v>99</v>
      </c>
      <c r="B100" t="inlineStr">
        <is>
          <t>ORI ENEA</t>
        </is>
      </c>
      <c r="C100" t="inlineStr">
        <is>
          <t>CYCLING TEAM NIAL NIZZOLI ALMO</t>
        </is>
      </c>
      <c r="D100" t="inlineStr">
        <is>
          <t>enea-ori</t>
        </is>
      </c>
      <c r="E100">
        <f>HYPERLINK("https://www.procyclingstats.com/search.php?term=ORI+ENEA","Cerca su PCS")</f>
        <v/>
      </c>
      <c r="F100" t="inlineStr"/>
      <c r="G100" t="inlineStr"/>
    </row>
    <row r="101">
      <c r="A101" t="n">
        <v>100</v>
      </c>
      <c r="B101" t="inlineStr">
        <is>
          <t>FARAZ KHATIEB</t>
        </is>
      </c>
      <c r="C101" t="inlineStr">
        <is>
          <t>VELEKA TEAM</t>
        </is>
      </c>
      <c r="D101" t="inlineStr">
        <is>
          <t>khatieb-faraz</t>
        </is>
      </c>
      <c r="E101">
        <f>HYPERLINK("https://www.procyclingstats.com/search.php?term=FARAZ+KHATIEB","Cerca su PCS")</f>
        <v/>
      </c>
      <c r="F101" t="inlineStr"/>
      <c r="G101" t="inlineStr"/>
    </row>
    <row r="102">
      <c r="A102" t="n">
        <v>101</v>
      </c>
      <c r="B102" t="inlineStr">
        <is>
          <t>RANDAZZO VITO</t>
        </is>
      </c>
      <c r="C102" t="inlineStr">
        <is>
          <t>MADONE-TEAM BIKE SICILIA</t>
        </is>
      </c>
      <c r="D102" t="inlineStr">
        <is>
          <t>vito-randazzo</t>
        </is>
      </c>
      <c r="E102">
        <f>HYPERLINK("https://www.procyclingstats.com/search.php?term=RANDAZZO+VITO","Cerca su PCS")</f>
        <v/>
      </c>
      <c r="F102" t="inlineStr"/>
      <c r="G102" t="inlineStr"/>
    </row>
    <row r="103">
      <c r="A103" t="n">
        <v>102</v>
      </c>
      <c r="B103" t="inlineStr">
        <is>
          <t>AMBROSIONI SIMONE</t>
        </is>
      </c>
      <c r="C103" t="inlineStr">
        <is>
          <t>E' VALTELLINA PEDALE MORBEGNESE</t>
        </is>
      </c>
      <c r="D103" t="inlineStr">
        <is>
          <t>simone-ambrosioni</t>
        </is>
      </c>
      <c r="E103">
        <f>HYPERLINK("https://www.procyclingstats.com/search.php?term=AMBROSIONI+SIMONE","Cerca su PCS")</f>
        <v/>
      </c>
      <c r="F103" t="inlineStr"/>
      <c r="G103" t="inlineStr"/>
    </row>
    <row r="104">
      <c r="A104" t="n">
        <v>103</v>
      </c>
      <c r="B104" t="inlineStr">
        <is>
          <t>CASABONA IVAN ALDO</t>
        </is>
      </c>
      <c r="C104" t="inlineStr">
        <is>
          <t>G.S. BAREGGESE A.S.D</t>
        </is>
      </c>
      <c r="D104" t="inlineStr">
        <is>
          <t>aldo-ivan-casabona</t>
        </is>
      </c>
      <c r="E104">
        <f>HYPERLINK("https://www.procyclingstats.com/search.php?term=CASABONA+IVAN+ALDO","Cerca su PCS")</f>
        <v/>
      </c>
      <c r="F104" t="inlineStr"/>
      <c r="G104" t="inlineStr"/>
    </row>
    <row r="105">
      <c r="A105" t="n">
        <v>104</v>
      </c>
      <c r="B105" t="inlineStr">
        <is>
          <t>GALFRE' JACOPO</t>
        </is>
      </c>
      <c r="C105" t="inlineStr">
        <is>
          <t>U.C. PIASCO</t>
        </is>
      </c>
      <c r="D105" t="inlineStr">
        <is>
          <t>jacopo-galfre</t>
        </is>
      </c>
      <c r="E105">
        <f>HYPERLINK("https://www.procyclingstats.com/search.php?term=GALFRE'+JACOPO","Cerca su PCS")</f>
        <v/>
      </c>
      <c r="F105" t="inlineStr"/>
      <c r="G105" t="inlineStr"/>
    </row>
    <row r="106">
      <c r="A106" t="n">
        <v>105</v>
      </c>
      <c r="B106" t="inlineStr">
        <is>
          <t>RICCADONA EDOARDO</t>
        </is>
      </c>
      <c r="C106" t="inlineStr">
        <is>
          <t>AUTOZAI-CONTRI</t>
        </is>
      </c>
      <c r="D106" t="inlineStr">
        <is>
          <t>edoardo-riccadona</t>
        </is>
      </c>
      <c r="E106">
        <f>HYPERLINK("https://www.procyclingstats.com/search.php?term=RICCADONA+EDOARDO","Cerca su PCS")</f>
        <v/>
      </c>
      <c r="F106" t="inlineStr"/>
      <c r="G106" t="inlineStr"/>
    </row>
    <row r="107">
      <c r="A107" t="n">
        <v>106</v>
      </c>
      <c r="B107" t="inlineStr">
        <is>
          <t>MANTOVANI GIULIO</t>
        </is>
      </c>
      <c r="C107" t="inlineStr">
        <is>
          <t>STAR CYCLING LAB</t>
        </is>
      </c>
      <c r="D107" t="inlineStr">
        <is>
          <t>giulio-mantovani</t>
        </is>
      </c>
      <c r="E107">
        <f>HYPERLINK("https://www.procyclingstats.com/search.php?term=MANTOVANI+GIULIO","Cerca su PCS")</f>
        <v/>
      </c>
      <c r="F107" t="inlineStr"/>
      <c r="G107" t="inlineStr"/>
    </row>
    <row r="108">
      <c r="A108" t="n">
        <v>107</v>
      </c>
      <c r="B108" t="inlineStr">
        <is>
          <t>LISORINI LEONE</t>
        </is>
      </c>
      <c r="C108" t="inlineStr">
        <is>
          <t>NORDEST PETRUCCI ASSALI STEFEN</t>
        </is>
      </c>
      <c r="D108" t="inlineStr">
        <is>
          <t>leone-lisorini</t>
        </is>
      </c>
      <c r="E108">
        <f>HYPERLINK("https://www.procyclingstats.com/search.php?term=LISORINI+LEONE","Cerca su PCS")</f>
        <v/>
      </c>
      <c r="F108" t="inlineStr"/>
      <c r="G108" t="inlineStr"/>
    </row>
    <row r="109">
      <c r="A109" t="n">
        <v>108</v>
      </c>
      <c r="B109" t="inlineStr">
        <is>
          <t>BOLZONI SIMONE</t>
        </is>
      </c>
      <c r="C109" t="inlineStr">
        <is>
          <t>CYCLING TEAM NIAL NIZZOLI ALMO</t>
        </is>
      </c>
      <c r="D109" t="inlineStr">
        <is>
          <t>simone-bolzoni</t>
        </is>
      </c>
      <c r="E109">
        <f>HYPERLINK("https://www.procyclingstats.com/search.php?term=BOLZONI+SIMONE","Cerca su PCS")</f>
        <v/>
      </c>
      <c r="F109" t="inlineStr"/>
      <c r="G109" t="inlineStr"/>
    </row>
    <row r="110">
      <c r="A110" t="n">
        <v>109</v>
      </c>
      <c r="B110" t="inlineStr">
        <is>
          <t>D'APOLLONIO REBECCA</t>
        </is>
      </c>
      <c r="C110" t="inlineStr">
        <is>
          <t>U.C.CONSCIO PEDALE DEL SILE</t>
        </is>
      </c>
      <c r="D110" t="inlineStr">
        <is>
          <t>rebecca-d-apollonio</t>
        </is>
      </c>
      <c r="E110">
        <f>HYPERLINK("https://www.procyclingstats.com/search.php?term=D'APOLLONIO+REBECCA","Cerca su PCS")</f>
        <v/>
      </c>
      <c r="F110" t="inlineStr"/>
      <c r="G110" t="inlineStr"/>
    </row>
    <row r="111">
      <c r="A111" t="n">
        <v>110</v>
      </c>
      <c r="B111" t="inlineStr">
        <is>
          <t>ALHACH SJOGREN GAETTANA</t>
        </is>
      </c>
      <c r="C111" t="inlineStr">
        <is>
          <t>A.R.MONEX PRO CYCLING TEAM</t>
        </is>
      </c>
      <c r="D111" t="inlineStr">
        <is>
          <t>sjogren-gaettana-alhach</t>
        </is>
      </c>
      <c r="E111">
        <f>HYPERLINK("https://www.procyclingstats.com/search.php?term=ALHACH+SJOGREN+GAETTANA","Cerca su PCS")</f>
        <v/>
      </c>
      <c r="F111" t="inlineStr"/>
      <c r="G111" t="inlineStr"/>
    </row>
    <row r="112">
      <c r="A112" t="n">
        <v>111</v>
      </c>
      <c r="B112" t="inlineStr">
        <is>
          <t>NOVOLODSKAIA ANGELINA</t>
        </is>
      </c>
      <c r="C112" t="inlineStr">
        <is>
          <t>PETRUCCI GAUSS CYCLING TEAM</t>
        </is>
      </c>
      <c r="D112" t="inlineStr">
        <is>
          <t>angelina-novolodskaia</t>
        </is>
      </c>
      <c r="E112">
        <f>HYPERLINK("https://www.procyclingstats.com/search.php?term=NOVOLODSKAIA+ANGELINA","Cerca su PCS")</f>
        <v/>
      </c>
      <c r="F112" t="inlineStr"/>
      <c r="G112" t="inlineStr"/>
    </row>
    <row r="113">
      <c r="A113" t="n">
        <v>112</v>
      </c>
      <c r="B113" t="inlineStr">
        <is>
          <t>PASCUT MADDALENA</t>
        </is>
      </c>
      <c r="C113" t="inlineStr">
        <is>
          <t>TEAM WILIER BREGANZE</t>
        </is>
      </c>
      <c r="D113" t="inlineStr">
        <is>
          <t>maddalena-pascut</t>
        </is>
      </c>
      <c r="E113">
        <f>HYPERLINK("https://www.procyclingstats.com/search.php?term=PASCUT+MADDALENA","Cerca su PCS")</f>
        <v/>
      </c>
      <c r="F113" t="inlineStr"/>
      <c r="G113" t="inlineStr"/>
    </row>
    <row r="114">
      <c r="A114" t="n">
        <v>113</v>
      </c>
      <c r="B114" t="inlineStr">
        <is>
          <t>KOSTINA OLGA</t>
        </is>
      </c>
      <c r="C114" t="inlineStr">
        <is>
          <t>PC BAIX EBRE TORTOSA</t>
        </is>
      </c>
      <c r="D114" t="inlineStr">
        <is>
          <t>olga-kostina</t>
        </is>
      </c>
      <c r="E114">
        <f>HYPERLINK("https://www.procyclingstats.com/search.php?term=KOSTINA+OLGA","Cerca su PCS")</f>
        <v/>
      </c>
      <c r="F114" t="inlineStr"/>
      <c r="G114" t="inlineStr"/>
    </row>
    <row r="115">
      <c r="A115" t="n">
        <v>114</v>
      </c>
      <c r="B115" t="inlineStr">
        <is>
          <t>PENEDA SOTO NATALIA</t>
        </is>
      </c>
      <c r="C115" t="inlineStr">
        <is>
          <t>A.R.MONEX PRO CYCLING TEAM</t>
        </is>
      </c>
      <c r="D115" t="inlineStr">
        <is>
          <t>natalia-peneda-soto</t>
        </is>
      </c>
      <c r="E115">
        <f>HYPERLINK("https://www.procyclingstats.com/search.php?term=PENEDA+SOTO+NATALIA","Cerca su PCS")</f>
        <v/>
      </c>
      <c r="F115" t="inlineStr"/>
      <c r="G115" t="inlineStr"/>
    </row>
    <row r="116">
      <c r="A116" t="n">
        <v>115</v>
      </c>
      <c r="B116" t="inlineStr">
        <is>
          <t>GARCIA BARENO DOMINGUEZ NABYENKA</t>
        </is>
      </c>
      <c r="C116" t="inlineStr">
        <is>
          <t>A.R.MONEX PRO CYCLING TEAM</t>
        </is>
      </c>
      <c r="D116" t="inlineStr">
        <is>
          <t>bareno-dominguez-nabyenka-garcia</t>
        </is>
      </c>
      <c r="E116">
        <f>HYPERLINK("https://www.procyclingstats.com/search.php?term=GARCIA+BARENO+DOMINGUEZ+NABYENKA","Cerca su PCS")</f>
        <v/>
      </c>
      <c r="F116" t="inlineStr"/>
      <c r="G116" t="inlineStr"/>
    </row>
    <row r="117">
      <c r="A117" t="n">
        <v>116</v>
      </c>
      <c r="B117" t="inlineStr">
        <is>
          <t>LAMPREA MORALES ZARA SOFIA</t>
        </is>
      </c>
      <c r="C117" t="inlineStr">
        <is>
          <t>LMC BOGOTA'</t>
        </is>
      </c>
      <c r="D117" t="inlineStr">
        <is>
          <t>zara-sofia-lamprea-morales</t>
        </is>
      </c>
      <c r="E117">
        <f>HYPERLINK("https://www.procyclingstats.com/search.php?term=LAMPREA+MORALES+ZARA+SOFIA","Cerca su PCS")</f>
        <v/>
      </c>
      <c r="F117" t="inlineStr"/>
      <c r="G117" t="inlineStr"/>
    </row>
    <row r="118">
      <c r="A118" t="n">
        <v>117</v>
      </c>
      <c r="B118" t="inlineStr">
        <is>
          <t>STACCHINI CAMILLA</t>
        </is>
      </c>
      <c r="C118" t="inlineStr">
        <is>
          <t>CICLISTICA OMNIA IMOLA</t>
        </is>
      </c>
      <c r="D118" t="inlineStr">
        <is>
          <t>camilla-stacchini</t>
        </is>
      </c>
      <c r="E118">
        <f>HYPERLINK("https://www.procyclingstats.com/search.php?term=STACCHINI+CAMILLA","Cerca su PCS")</f>
        <v/>
      </c>
      <c r="F118" t="inlineStr"/>
      <c r="G118" t="inlineStr"/>
    </row>
    <row r="119">
      <c r="A119" t="n">
        <v>118</v>
      </c>
      <c r="B119" t="inlineStr">
        <is>
          <t>DOMINGUEZ NEIRA ALEJANDRA</t>
        </is>
      </c>
      <c r="C119" t="inlineStr">
        <is>
          <t>SPAGNA</t>
        </is>
      </c>
      <c r="D119" t="inlineStr">
        <is>
          <t>neira-alejandra-dominguez</t>
        </is>
      </c>
      <c r="E119">
        <f>HYPERLINK("https://www.procyclingstats.com/search.php?term=DOMINGUEZ+NEIRA+ALEJANDRA","Cerca su PCS")</f>
        <v/>
      </c>
      <c r="F119" t="inlineStr"/>
      <c r="G119" t="inlineStr"/>
    </row>
    <row r="120">
      <c r="A120" t="n">
        <v>119</v>
      </c>
      <c r="B120" t="inlineStr">
        <is>
          <t>PINEDA SOTO NATALIA</t>
        </is>
      </c>
      <c r="C120" t="inlineStr">
        <is>
          <t>A.R.MONEX PRO CYCLING TEAM</t>
        </is>
      </c>
      <c r="D120" t="inlineStr">
        <is>
          <t>natalia-pineda-soto</t>
        </is>
      </c>
      <c r="E120">
        <f>HYPERLINK("https://www.procyclingstats.com/search.php?term=PINEDA+SOTO+NATALIA","Cerca su PCS")</f>
        <v/>
      </c>
      <c r="F120" t="inlineStr"/>
      <c r="G120" t="inlineStr"/>
    </row>
    <row r="121">
      <c r="A121" t="n">
        <v>120</v>
      </c>
      <c r="B121" t="inlineStr">
        <is>
          <t>PERUTA SARA</t>
        </is>
      </c>
      <c r="C121" t="inlineStr">
        <is>
          <t>PETRUCCI GAUSS CYCLING TEAM</t>
        </is>
      </c>
      <c r="D121" t="inlineStr">
        <is>
          <t>sara-peruta</t>
        </is>
      </c>
      <c r="E121">
        <f>HYPERLINK("https://www.procyclingstats.com/search.php?term=PERUTA+SARA","Cerca su PCS")</f>
        <v/>
      </c>
      <c r="F121" t="inlineStr"/>
      <c r="G121" t="inlineStr"/>
    </row>
    <row r="122">
      <c r="A122" t="n">
        <v>121</v>
      </c>
      <c r="B122" t="inlineStr">
        <is>
          <t>HIYOSHI AYAKA</t>
        </is>
      </c>
      <c r="C122" t="inlineStr">
        <is>
          <t>GIFU DAIICHI HIGH SCHOOL</t>
        </is>
      </c>
      <c r="D122" t="inlineStr">
        <is>
          <t>ayaka-hiyoshi</t>
        </is>
      </c>
      <c r="E122">
        <f>HYPERLINK("https://www.procyclingstats.com/search.php?term=HIYOSHI+AYAKA","Cerca su PCS")</f>
        <v/>
      </c>
      <c r="F122" t="inlineStr"/>
      <c r="G122" t="inlineStr"/>
    </row>
    <row r="123">
      <c r="A123" t="n">
        <v>122</v>
      </c>
      <c r="B123" t="inlineStr">
        <is>
          <t>BANI DESIREE</t>
        </is>
      </c>
      <c r="C123" t="inlineStr">
        <is>
          <t>PETRUCCI GAUSS CYCLING TEAM</t>
        </is>
      </c>
      <c r="D123" t="inlineStr">
        <is>
          <t>desiree-bani</t>
        </is>
      </c>
      <c r="E123">
        <f>HYPERLINK("https://www.procyclingstats.com/search.php?term=BANI+DESIREE","Cerca su PCS")</f>
        <v/>
      </c>
      <c r="F123" t="inlineStr"/>
      <c r="G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2026-07-23T10:22:37Z</dcterms:created>
  <dcterms:modified xsi:type="dcterms:W3CDTF">2026-07-23T10:22:37Z</dcterms:modified>
</cp:coreProperties>
</file>